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2025-26\Level wise\ITR Affected Accounts\Partnership\"/>
    </mc:Choice>
  </mc:AlternateContent>
  <bookViews>
    <workbookView xWindow="0" yWindow="0" windowWidth="28800" windowHeight="12435" activeTab="4"/>
  </bookViews>
  <sheets>
    <sheet name="Balance Sheet" sheetId="1" r:id="rId1"/>
    <sheet name="Manufacturing Account" sheetId="2" r:id="rId2"/>
    <sheet name="Trading Account" sheetId="3" r:id="rId3"/>
    <sheet name="Trading Other Details" sheetId="4" r:id="rId4"/>
    <sheet name="Profit and Loss Account" sheetId="5" r:id="rId5"/>
    <sheet name="P&amp;L Other Details" sheetId="6" r:id="rId6"/>
  </sheets>
  <definedNames>
    <definedName name="CList">'P&amp;L Other Details'!$XFD$2:$XFD$251</definedName>
    <definedName name="SList">'P&amp;L Other Details'!$XFC$2:$XFC$42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5" l="1"/>
  <c r="K101" i="5" l="1"/>
  <c r="I28" i="3"/>
  <c r="I6" i="3"/>
  <c r="I14" i="5"/>
  <c r="K85" i="5"/>
  <c r="I87" i="5"/>
  <c r="I88" i="5"/>
  <c r="I89" i="5"/>
  <c r="K90" i="5" l="1"/>
  <c r="K82" i="5"/>
  <c r="K60" i="5"/>
  <c r="K56" i="5"/>
  <c r="K52" i="5"/>
  <c r="K42" i="5"/>
  <c r="K35" i="5"/>
  <c r="K15" i="5"/>
  <c r="K41" i="3"/>
  <c r="K25" i="3"/>
  <c r="K18" i="3"/>
  <c r="K7" i="3"/>
  <c r="K19" i="3" s="1"/>
  <c r="K21" i="3" s="1"/>
  <c r="K23" i="2"/>
  <c r="K18" i="2"/>
  <c r="K7" i="2"/>
  <c r="K4" i="2"/>
  <c r="K19" i="2" s="1"/>
  <c r="K24" i="2" s="1"/>
  <c r="K42" i="3" s="1"/>
  <c r="K16" i="5" l="1"/>
  <c r="K93" i="5" s="1"/>
  <c r="K103" i="5" s="1"/>
  <c r="K107" i="5" s="1"/>
  <c r="K109" i="5" s="1"/>
  <c r="K111" i="5" s="1"/>
  <c r="K43" i="3"/>
  <c r="I59" i="1"/>
  <c r="K65" i="1" s="1"/>
  <c r="K120" i="1"/>
  <c r="K114" i="1"/>
  <c r="I103" i="1"/>
  <c r="K109" i="1" s="1"/>
  <c r="K93" i="1"/>
  <c r="K81" i="1"/>
  <c r="K77" i="1"/>
  <c r="I48" i="1"/>
  <c r="K54" i="1" s="1"/>
  <c r="I39" i="1"/>
  <c r="K41" i="1" s="1"/>
  <c r="K33" i="1"/>
  <c r="I26" i="1"/>
  <c r="K27" i="1" s="1"/>
  <c r="I18" i="1"/>
  <c r="K19" i="1" s="1"/>
  <c r="K10" i="1"/>
  <c r="K11" i="1" s="1"/>
  <c r="K115" i="1" l="1"/>
  <c r="K66" i="1"/>
  <c r="K28" i="1"/>
  <c r="K34" i="1" s="1"/>
  <c r="K86" i="1"/>
  <c r="K88" i="1" s="1"/>
  <c r="K97" i="1" s="1"/>
  <c r="K116" i="1" l="1"/>
  <c r="K121" i="1" s="1"/>
</calcChain>
</file>

<file path=xl/sharedStrings.xml><?xml version="1.0" encoding="utf-8"?>
<sst xmlns="http://schemas.openxmlformats.org/spreadsheetml/2006/main" count="1054" uniqueCount="698">
  <si>
    <t>A</t>
  </si>
  <si>
    <t>i</t>
  </si>
  <si>
    <t>ii</t>
  </si>
  <si>
    <t>iii</t>
  </si>
  <si>
    <t>iv</t>
  </si>
  <si>
    <t>B</t>
  </si>
  <si>
    <t>Reserves and Surplus</t>
  </si>
  <si>
    <t>v</t>
  </si>
  <si>
    <t>vi</t>
  </si>
  <si>
    <t>vii</t>
  </si>
  <si>
    <t>a</t>
  </si>
  <si>
    <t>b</t>
  </si>
  <si>
    <t>c</t>
  </si>
  <si>
    <t>viii</t>
  </si>
  <si>
    <t>Capital Reserve</t>
  </si>
  <si>
    <t>Revaluation Reserve</t>
  </si>
  <si>
    <t>C</t>
  </si>
  <si>
    <t>D</t>
  </si>
  <si>
    <t>From Banks</t>
  </si>
  <si>
    <t>From others</t>
  </si>
  <si>
    <t>Others</t>
  </si>
  <si>
    <t>E</t>
  </si>
  <si>
    <t>Current liabilities</t>
  </si>
  <si>
    <t>d</t>
  </si>
  <si>
    <t>e</t>
  </si>
  <si>
    <t>Income received in advance</t>
  </si>
  <si>
    <t>Other payables</t>
  </si>
  <si>
    <t>Fixed assets</t>
  </si>
  <si>
    <t>Depreciation</t>
  </si>
  <si>
    <t>Capital work-in-progress</t>
  </si>
  <si>
    <t>Investment in property</t>
  </si>
  <si>
    <t>Listed equities</t>
  </si>
  <si>
    <t>Unlisted equities</t>
  </si>
  <si>
    <t>for the purpose of business or profession</t>
  </si>
  <si>
    <t>not for the purpose of business or profession</t>
  </si>
  <si>
    <t>F</t>
  </si>
  <si>
    <t>Current assets</t>
  </si>
  <si>
    <t>Inventories</t>
  </si>
  <si>
    <t>Raw materials</t>
  </si>
  <si>
    <t>Work-in-progress</t>
  </si>
  <si>
    <t>Finished goods</t>
  </si>
  <si>
    <t>Stock-in-trade (in respect of goods acquired for trading)</t>
  </si>
  <si>
    <t>Loose tools</t>
  </si>
  <si>
    <t>Balance with banks</t>
  </si>
  <si>
    <t>Cash in hand</t>
  </si>
  <si>
    <t>G</t>
  </si>
  <si>
    <t>Bi</t>
  </si>
  <si>
    <t>bii</t>
  </si>
  <si>
    <t>biii</t>
  </si>
  <si>
    <t>biv</t>
  </si>
  <si>
    <t>bv</t>
  </si>
  <si>
    <t>bvi</t>
  </si>
  <si>
    <t>bvii</t>
  </si>
  <si>
    <t>SOURCES OF FUNDS</t>
  </si>
  <si>
    <t>Partners' / Members' fund</t>
  </si>
  <si>
    <t>Partners' / members' capital</t>
  </si>
  <si>
    <t>Statutory Reserve</t>
  </si>
  <si>
    <t>Any other Reserve</t>
  </si>
  <si>
    <t>Credit balance of Profit and loss account</t>
  </si>
  <si>
    <t>av</t>
  </si>
  <si>
    <t>1c</t>
  </si>
  <si>
    <t>Loan funds</t>
  </si>
  <si>
    <t>Secured loans</t>
  </si>
  <si>
    <t>Foreign Currency Loans</t>
  </si>
  <si>
    <t>ai</t>
  </si>
  <si>
    <t>Rupee Loans</t>
  </si>
  <si>
    <t>Total (iiA+iiB)</t>
  </si>
  <si>
    <t>Total (bi+bii+biii+biv+bv)</t>
  </si>
  <si>
    <t>Total partners' / members' fund (a+bvi)</t>
  </si>
  <si>
    <t>aiii</t>
  </si>
  <si>
    <t>Unsecured loans (including deposits)</t>
  </si>
  <si>
    <t>bi</t>
  </si>
  <si>
    <t>From persons specified in section 40A(2)(b) of the I.T. Act</t>
  </si>
  <si>
    <t>Total Rupee Loans (iiA+iiB+iiC)</t>
  </si>
  <si>
    <t>Total Loan Funds (aiii+biii)</t>
  </si>
  <si>
    <t>iiA</t>
  </si>
  <si>
    <t>iiB</t>
  </si>
  <si>
    <t>iiC</t>
  </si>
  <si>
    <t>iiD</t>
  </si>
  <si>
    <t>2c</t>
  </si>
  <si>
    <t>Deferred tax liability</t>
  </si>
  <si>
    <t>Advances</t>
  </si>
  <si>
    <t>From persons specified in section 40A(2)(b) of I.T. Act</t>
  </si>
  <si>
    <t>Total Advances (i + ii)</t>
  </si>
  <si>
    <t>4iii</t>
  </si>
  <si>
    <t>Sources of funds (1c+2c+3+4iii)</t>
  </si>
  <si>
    <t>APPLICATION OF FUNDS</t>
  </si>
  <si>
    <t>Gross: Block</t>
  </si>
  <si>
    <t>Net Block (a-b)</t>
  </si>
  <si>
    <t>1a</t>
  </si>
  <si>
    <t>1b</t>
  </si>
  <si>
    <t>1d</t>
  </si>
  <si>
    <t>Total (1c+1d)</t>
  </si>
  <si>
    <t>1e</t>
  </si>
  <si>
    <t>Investments</t>
  </si>
  <si>
    <t>Long-term investments</t>
  </si>
  <si>
    <t>Equity instruments</t>
  </si>
  <si>
    <t>Total</t>
  </si>
  <si>
    <t>Preference shares</t>
  </si>
  <si>
    <t>Government or trust securities</t>
  </si>
  <si>
    <t>Debenture or bonds</t>
  </si>
  <si>
    <t>Mutual funds</t>
  </si>
  <si>
    <t>Total Long-term investments (i+iiC+iii+iv+v+vi+vii)</t>
  </si>
  <si>
    <t>aviii</t>
  </si>
  <si>
    <t>Short-term investments</t>
  </si>
  <si>
    <t>iA</t>
  </si>
  <si>
    <t>iB</t>
  </si>
  <si>
    <t>iC</t>
  </si>
  <si>
    <t>Total Short-term investments (iC+ii+iii+iv+v+vi)</t>
  </si>
  <si>
    <t>Total investments (aviii+bvii)</t>
  </si>
  <si>
    <t>Current assets, loans and advances</t>
  </si>
  <si>
    <t>H</t>
  </si>
  <si>
    <t>Stores/consumables including packing material</t>
  </si>
  <si>
    <t>Total (iA+iB+iC+iD+iE+iF+iG)</t>
  </si>
  <si>
    <t>iD</t>
  </si>
  <si>
    <t>iF</t>
  </si>
  <si>
    <t>iE</t>
  </si>
  <si>
    <t>iG</t>
  </si>
  <si>
    <t>iH</t>
  </si>
  <si>
    <t>Sundry Debtors</t>
  </si>
  <si>
    <t>Outstanding for more than one year</t>
  </si>
  <si>
    <t>Total Sundry Debtors (iiA+iiB)</t>
  </si>
  <si>
    <t>Cash and Bank Balances</t>
  </si>
  <si>
    <t>Total Cash and cash equivalents (iiiA+iiiB+iiiC)</t>
  </si>
  <si>
    <t>iiiD</t>
  </si>
  <si>
    <t>iiiA</t>
  </si>
  <si>
    <t>iiiB</t>
  </si>
  <si>
    <t>iiiC</t>
  </si>
  <si>
    <t>Other Current Assets</t>
  </si>
  <si>
    <t>aiv</t>
  </si>
  <si>
    <t>Total current assets (iH+iiC+iiiD+aiv)</t>
  </si>
  <si>
    <t>Loans and advances</t>
  </si>
  <si>
    <t>Advances recoverable in cash or in kind or for value to be received</t>
  </si>
  <si>
    <t>Deposits, loans and advances to corporate and others</t>
  </si>
  <si>
    <t>Balance with Revenue Authorities</t>
  </si>
  <si>
    <t>Total (bi+bii+biii)</t>
  </si>
  <si>
    <t>Loans and advances included in biv which is</t>
  </si>
  <si>
    <t>va</t>
  </si>
  <si>
    <t>vb</t>
  </si>
  <si>
    <t>Total (av+biv)</t>
  </si>
  <si>
    <t>3c</t>
  </si>
  <si>
    <t>Current liabilities and provisions</t>
  </si>
  <si>
    <t>Sundry Creditors</t>
  </si>
  <si>
    <t>Total (1+2)</t>
  </si>
  <si>
    <t>A3</t>
  </si>
  <si>
    <t>Liabilities for Leased Assets</t>
  </si>
  <si>
    <t>Interest Accrued and due on borrowings</t>
  </si>
  <si>
    <t>Interest Accrued but not due on borrowings</t>
  </si>
  <si>
    <t>Total (A3+iB+iC+iD+iE+iF)</t>
  </si>
  <si>
    <t>Provisions</t>
  </si>
  <si>
    <t>Provision for Income Tax</t>
  </si>
  <si>
    <t>Provision for Leave encashment/Superannuation/Gratuity</t>
  </si>
  <si>
    <t>Other Provisions</t>
  </si>
  <si>
    <t>Total (iiA+iiB+iiC)</t>
  </si>
  <si>
    <t>diii</t>
  </si>
  <si>
    <t>Total (iG+iiD)</t>
  </si>
  <si>
    <t>Net current assets (3c-diii)</t>
  </si>
  <si>
    <t>3e</t>
  </si>
  <si>
    <t>Miscellaneous expenditure not written off or adjusted</t>
  </si>
  <si>
    <t>4a</t>
  </si>
  <si>
    <t>Deferred tax asset</t>
  </si>
  <si>
    <t>4b</t>
  </si>
  <si>
    <t>Debit balance in Profit and loss account / accumulated balance</t>
  </si>
  <si>
    <t>4c</t>
  </si>
  <si>
    <t>Total (4a+4b+4c)</t>
  </si>
  <si>
    <t>4d</t>
  </si>
  <si>
    <t>Total, application of funds (1e+2c+3e+4d)</t>
  </si>
  <si>
    <t>Total secured loans (ai+aiiC)</t>
  </si>
  <si>
    <t>Total unsecured loans (bi+biiD)</t>
  </si>
  <si>
    <t>I</t>
  </si>
  <si>
    <t>Opening Inventory</t>
  </si>
  <si>
    <t>Opening stock of raw-material</t>
  </si>
  <si>
    <t>Opening stock of Work in progress</t>
  </si>
  <si>
    <t>Total (i + ii)</t>
  </si>
  <si>
    <t>Aiii</t>
  </si>
  <si>
    <t>Purchases (net of refunds and duty or tax, if any)</t>
  </si>
  <si>
    <t>Direct wages</t>
  </si>
  <si>
    <t>Direct expenses ( Di + Dii + Diii )</t>
  </si>
  <si>
    <t>Carriage inward</t>
  </si>
  <si>
    <t>Power and fuel</t>
  </si>
  <si>
    <t>Other direct expenses</t>
  </si>
  <si>
    <t>Factory Overheads</t>
  </si>
  <si>
    <t>Indirect wages</t>
  </si>
  <si>
    <t>Factory rent and rates</t>
  </si>
  <si>
    <t>Factory Insurance</t>
  </si>
  <si>
    <t>Factory fuel and power</t>
  </si>
  <si>
    <t>Factory general expenses</t>
  </si>
  <si>
    <t>Depreciation of factory machinery</t>
  </si>
  <si>
    <t>Total ( i + ii + iii + iv + v + vi )</t>
  </si>
  <si>
    <t>Evii</t>
  </si>
  <si>
    <t>Total of Debits to Manufacturing Account ( Aiii + B + C + D + Evii )</t>
  </si>
  <si>
    <t>1F</t>
  </si>
  <si>
    <t>Closing Stock</t>
  </si>
  <si>
    <t>Raw material</t>
  </si>
  <si>
    <t>2i</t>
  </si>
  <si>
    <t>2ii</t>
  </si>
  <si>
    <t>Total ( 2i + 2ii )</t>
  </si>
  <si>
    <t>Cost of Goods Produced – transferred to Trading Account ( 1F – 2 )</t>
  </si>
  <si>
    <t>CREDITS TO TRADING ACCOUNT</t>
  </si>
  <si>
    <t>Revenue from operations</t>
  </si>
  <si>
    <t>Sales/Gross receipts of business (net of returns and refunds and duty or tax, if any)</t>
  </si>
  <si>
    <t>Sale of goods</t>
  </si>
  <si>
    <t>Sale of services</t>
  </si>
  <si>
    <t>Other operating revenues (specify nature and amount)</t>
  </si>
  <si>
    <t>Total ( i + ii + iiic )</t>
  </si>
  <si>
    <t>Aiv</t>
  </si>
  <si>
    <t>Gross receipts from Profession</t>
  </si>
  <si>
    <t>Duties, taxes and cess, received or receivable, in respect of goods and services sold or supplied</t>
  </si>
  <si>
    <t>Union Excise duties</t>
  </si>
  <si>
    <t>Service tax</t>
  </si>
  <si>
    <t>VAT/Sales tax</t>
  </si>
  <si>
    <t>Central Goods &amp; Service Tax (CGST)</t>
  </si>
  <si>
    <t>State Goods &amp; Services Tax (SGST)</t>
  </si>
  <si>
    <t>Integrated Goods &amp; Services Tax (IGST)</t>
  </si>
  <si>
    <t>Union Territory Goods &amp; Services Tax (UTGST)</t>
  </si>
  <si>
    <t>Any other duty, tax and cess</t>
  </si>
  <si>
    <t>ix</t>
  </si>
  <si>
    <t>Total ( i + ii + iii + iv + v + vi + vii + viii )</t>
  </si>
  <si>
    <t>Cix</t>
  </si>
  <si>
    <t>Total Revenue from operations ( Aiv + B + Cix )</t>
  </si>
  <si>
    <t>4D</t>
  </si>
  <si>
    <t>Closing Stock of Finished Stocks</t>
  </si>
  <si>
    <t>Total of credits to Trading Account ( 4D + 5 )</t>
  </si>
  <si>
    <t>DEBITS TO TRADING ACCOUNT</t>
  </si>
  <si>
    <t>Direct Expenses (9i + 9ii + 9iii)</t>
  </si>
  <si>
    <t>9i</t>
  </si>
  <si>
    <t>9ii</t>
  </si>
  <si>
    <t>Other direct expenses (specify nature and amount)</t>
  </si>
  <si>
    <t>9iii</t>
  </si>
  <si>
    <t>Duties and taxes, paid or payable, in respect of goods and services purchased</t>
  </si>
  <si>
    <t>Custom duty</t>
  </si>
  <si>
    <t>10i</t>
  </si>
  <si>
    <t>Counter vailing duty</t>
  </si>
  <si>
    <t>10ii</t>
  </si>
  <si>
    <t>Special additional duty</t>
  </si>
  <si>
    <t>10iii</t>
  </si>
  <si>
    <t>Union excise duty</t>
  </si>
  <si>
    <t>10iv</t>
  </si>
  <si>
    <t>10v</t>
  </si>
  <si>
    <t>10vi</t>
  </si>
  <si>
    <t>10vii</t>
  </si>
  <si>
    <t>10viii</t>
  </si>
  <si>
    <t>10ix</t>
  </si>
  <si>
    <t>x</t>
  </si>
  <si>
    <t>10x</t>
  </si>
  <si>
    <t>xi</t>
  </si>
  <si>
    <t>Any other tax, paid or payable</t>
  </si>
  <si>
    <t>10xi</t>
  </si>
  <si>
    <t>xii</t>
  </si>
  <si>
    <t>Total ( 10i + 10ii + 10iii + 10iv + 10v + 10vi + 10vii + 10viii + 10ix + 10x + 10xi )</t>
  </si>
  <si>
    <t>10xii</t>
  </si>
  <si>
    <t>Cost of goods produced – Transferred from Manufacturing Account</t>
  </si>
  <si>
    <t>Gross Profit from Business/Profession - transferred to Profit and Loss account ( 6 – 7 – 8 – 9 - 10xii -11 )</t>
  </si>
  <si>
    <t>12a</t>
  </si>
  <si>
    <t>Turnover from Intraday Trading</t>
  </si>
  <si>
    <t>12b</t>
  </si>
  <si>
    <t>Income from Intraday Trading</t>
  </si>
  <si>
    <t>Particulars</t>
  </si>
  <si>
    <t>Amount</t>
  </si>
  <si>
    <t>CREDITS TO PROFIT AND LOSS ACCOUNT</t>
  </si>
  <si>
    <t>Gross profit transferred from Trading Account</t>
  </si>
  <si>
    <t>Other income</t>
  </si>
  <si>
    <t>Rent</t>
  </si>
  <si>
    <t>Commission</t>
  </si>
  <si>
    <t>Dividend income</t>
  </si>
  <si>
    <t>Interest income</t>
  </si>
  <si>
    <t>Profit on sale of fixed assets</t>
  </si>
  <si>
    <t>Profit on sale of investment being securities chargeable to Securities Transaction Tax (STT)</t>
  </si>
  <si>
    <t>Profit on sale of other investment</t>
  </si>
  <si>
    <t>Gain (loss) on account of foreign exchange fluctuation u/s 43AA</t>
  </si>
  <si>
    <t xml:space="preserve">Profit on conversion of inventory into capital asset u/s 28(via)
(Fair Market Value of inventory as on the date of conversion)
</t>
  </si>
  <si>
    <t>Agriculture income</t>
  </si>
  <si>
    <t>Any other income (specify nature and amount)</t>
  </si>
  <si>
    <t>Total of other income ( i + ii + iii + iv + v + vi + vii + viii + ix + x + xic )</t>
  </si>
  <si>
    <t>14xii</t>
  </si>
  <si>
    <t>Total of credits to profit and loss account (13+14xii)</t>
  </si>
  <si>
    <t>DEBITS TO PROFIT AND LOSS ACCOUNT</t>
  </si>
  <si>
    <t>Freight outward</t>
  </si>
  <si>
    <t>Consumption of stores and spare parts</t>
  </si>
  <si>
    <t>Rents</t>
  </si>
  <si>
    <t>Repairs to building</t>
  </si>
  <si>
    <t>Repairs to machinery</t>
  </si>
  <si>
    <t>Compensation to employees</t>
  </si>
  <si>
    <t>Salaries and wages</t>
  </si>
  <si>
    <t>22i</t>
  </si>
  <si>
    <t>Bonus</t>
  </si>
  <si>
    <t>22ii</t>
  </si>
  <si>
    <t>Reimbursement of medical expenses</t>
  </si>
  <si>
    <t>22iii</t>
  </si>
  <si>
    <t>Leave encashment</t>
  </si>
  <si>
    <t>22iv</t>
  </si>
  <si>
    <t>Leave travel benefits</t>
  </si>
  <si>
    <t>22v</t>
  </si>
  <si>
    <t>Contribution to approved superannuation fund</t>
  </si>
  <si>
    <t>22vi</t>
  </si>
  <si>
    <t>Contribution to recognised provident fund</t>
  </si>
  <si>
    <t>22vii</t>
  </si>
  <si>
    <t>Contribution to recognised gratuity fund</t>
  </si>
  <si>
    <t>22viii</t>
  </si>
  <si>
    <t>Contribution to any other fund</t>
  </si>
  <si>
    <t>22ix</t>
  </si>
  <si>
    <t>Any other benefit to employees in respect of which an expenditure has been incurred</t>
  </si>
  <si>
    <t>22x</t>
  </si>
  <si>
    <t>Total compensation to employees (total of 22i to 22x)</t>
  </si>
  <si>
    <t>22xi</t>
  </si>
  <si>
    <t>Any compensation amount , included in 22xi, paid to non-residents</t>
  </si>
  <si>
    <t>Insurance</t>
  </si>
  <si>
    <t>Medical Insurance</t>
  </si>
  <si>
    <t>23i</t>
  </si>
  <si>
    <t>Life Insurance</t>
  </si>
  <si>
    <t>23ii</t>
  </si>
  <si>
    <t>Keyman's Insurance</t>
  </si>
  <si>
    <t>23iii</t>
  </si>
  <si>
    <t>Other Insurance including factory, office, car, goods etc.</t>
  </si>
  <si>
    <t>23iv</t>
  </si>
  <si>
    <t>Total expenditure on insurance ( 23i + 23ii + 23iii + 23iv )</t>
  </si>
  <si>
    <t>23v</t>
  </si>
  <si>
    <t>Workmen and staff welfare expenses</t>
  </si>
  <si>
    <t>Entertainment</t>
  </si>
  <si>
    <t>Hospitality</t>
  </si>
  <si>
    <t>Conference</t>
  </si>
  <si>
    <t>Sales promotion including publicity (other than advertisement)</t>
  </si>
  <si>
    <t>Advertisement</t>
  </si>
  <si>
    <t>Paid outside India, or paid in India to a non-resident other than a company or a foreign company</t>
  </si>
  <si>
    <t>To others</t>
  </si>
  <si>
    <t>Total ( i + ii )</t>
  </si>
  <si>
    <t>30iii</t>
  </si>
  <si>
    <t>Royalty</t>
  </si>
  <si>
    <t>31iii</t>
  </si>
  <si>
    <t>Professional / Consultancy fees / Fee for technical services</t>
  </si>
  <si>
    <t>32iii</t>
  </si>
  <si>
    <t>Hotel, boarding and Lodging</t>
  </si>
  <si>
    <t>Traveling expenses other than on foreign traveling</t>
  </si>
  <si>
    <t>Foreign traveling expenses</t>
  </si>
  <si>
    <t>Conveyance expenses</t>
  </si>
  <si>
    <t>Telephone expenses</t>
  </si>
  <si>
    <t>Guest House expenses</t>
  </si>
  <si>
    <t>Club expenses</t>
  </si>
  <si>
    <t>Festival celebration expenses</t>
  </si>
  <si>
    <t>Scholarship</t>
  </si>
  <si>
    <t>Gift</t>
  </si>
  <si>
    <t>Donation</t>
  </si>
  <si>
    <t>Rates and taxes, paid or payable to Government or any local body (excluding taxes on income)</t>
  </si>
  <si>
    <t>44i</t>
  </si>
  <si>
    <t>44ii</t>
  </si>
  <si>
    <t>44iii</t>
  </si>
  <si>
    <t>Cess</t>
  </si>
  <si>
    <t>44iv</t>
  </si>
  <si>
    <t>44v</t>
  </si>
  <si>
    <t>44vi</t>
  </si>
  <si>
    <t>44vii</t>
  </si>
  <si>
    <t>44viii</t>
  </si>
  <si>
    <t>Any other rate, tax, duty or cess incl STT and CTT</t>
  </si>
  <si>
    <t>44ix</t>
  </si>
  <si>
    <t>Total rates and taxes paid or payable ( 44i + 44ii + 44iii + 44iv + 44v + 44vi + 44vii + 44viii + 44ix )</t>
  </si>
  <si>
    <t>44x</t>
  </si>
  <si>
    <t>Audit fee</t>
  </si>
  <si>
    <t>Other expenses (Specify amount and nature)</t>
  </si>
  <si>
    <t>Bad debts</t>
  </si>
  <si>
    <t>Bad Debt for amount of Rs. 1 lakh or more, where PAN is available</t>
  </si>
  <si>
    <t>Bad Debt for amount of Rs. 1 lakh or more, where PAN is not available (provide name and complete address)</t>
  </si>
  <si>
    <t>Others (amounts less than Rs. 1 lakh)</t>
  </si>
  <si>
    <t>Total Bad Debt (47i + 47ii + 47iii )</t>
  </si>
  <si>
    <t>Provision for bad and doubtful debts</t>
  </si>
  <si>
    <t>Other provisions</t>
  </si>
  <si>
    <t>Interest</t>
  </si>
  <si>
    <t>Depreciation and amoritisation</t>
  </si>
  <si>
    <t>PROVISIONS FOR TAX AND APPROPRIATIONS</t>
  </si>
  <si>
    <t>Provision for current tax</t>
  </si>
  <si>
    <t>Provision for Deferred Tax and deferred liability</t>
  </si>
  <si>
    <t>Balance brought forward from previous year</t>
  </si>
  <si>
    <t>Amount available for appropriation (56+57)</t>
  </si>
  <si>
    <t>Transfer to reserves and surplus</t>
  </si>
  <si>
    <t>PAN of person</t>
  </si>
  <si>
    <t>AADHAAR of person</t>
  </si>
  <si>
    <t>Name of person</t>
  </si>
  <si>
    <t>Flat/ Door /Block No.</t>
  </si>
  <si>
    <t>Name of premises/ building/ village</t>
  </si>
  <si>
    <t>Road/ Street/ Post office</t>
  </si>
  <si>
    <t>Area/ Locality</t>
  </si>
  <si>
    <t>Town/ City/ District</t>
  </si>
  <si>
    <t>State</t>
  </si>
  <si>
    <t>Country</t>
  </si>
  <si>
    <t>PIN/ZIP Code</t>
  </si>
  <si>
    <t>Liabilities written back</t>
  </si>
  <si>
    <t>Opening Stock of Finished Goods</t>
  </si>
  <si>
    <t>Salary/Remuneration to Partners of the firm</t>
  </si>
  <si>
    <t>48i</t>
  </si>
  <si>
    <t>48ii</t>
  </si>
  <si>
    <t>48iii</t>
  </si>
  <si>
    <t>48iv</t>
  </si>
  <si>
    <t>Profit before interest, depreciation and taxes [15 – (16 to 21 + 22xi+23v+24 to 29 +30iii+31iii+32iii+33 to 43 +44x+45+46+47+48iv+49+50) ]</t>
  </si>
  <si>
    <t>52iii</t>
  </si>
  <si>
    <t>Profit after tax ( 54 – 55 – 56 )</t>
  </si>
  <si>
    <t>Balance carried to balance sheet in partner's account (59-60)</t>
  </si>
  <si>
    <t>To Partners</t>
  </si>
  <si>
    <t>To Others</t>
  </si>
  <si>
    <t>Paid in India, or paid to a resident</t>
  </si>
  <si>
    <t>Total ( ia + ib + iia + iib )</t>
  </si>
  <si>
    <t xml:space="preserve">Profit before taxes ( 51 - 52iii – 53 ) </t>
  </si>
  <si>
    <t xml:space="preserve"> </t>
  </si>
  <si>
    <t>COUNTRY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</si>
  <si>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</si>
  <si>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</si>
  <si>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</si>
  <si>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</si>
  <si>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</si>
  <si>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</si>
  <si>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</si>
  <si>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</si>
  <si>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</si>
  <si>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</si>
  <si>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</si>
  <si>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</si>
  <si>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</si>
  <si>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</si>
  <si>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</si>
  <si>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</si>
  <si>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</si>
  <si>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</si>
  <si>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</si>
  <si>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</si>
  <si>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</si>
  <si>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</si>
  <si>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</si>
  <si>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</si>
  <si>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</si>
  <si>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</si>
  <si>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</si>
  <si>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</si>
  <si>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</si>
  <si>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</si>
  <si>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</si>
  <si>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</si>
  <si>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</si>
  <si>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</si>
  <si>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</si>
  <si>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</si>
  <si>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</si>
  <si>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</si>
  <si>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</si>
  <si>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</si>
  <si>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</si>
  <si>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</si>
  <si>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</si>
  <si>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</si>
  <si>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</si>
  <si>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</si>
  <si>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</si>
  <si>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</si>
  <si>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</si>
  <si>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</si>
  <si>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</si>
  <si>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 (DEMOCRATIC REPUBLIC OF THE)</t>
  </si>
  <si>
    <t>COOK ISLANDS</t>
  </si>
  <si>
    <t>COSTA RICA</t>
  </si>
  <si>
    <t>COTE D`IVOIRE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</si>
  <si>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</si>
  <si>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</si>
  <si>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</si>
  <si>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</si>
  <si>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</si>
  <si>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</si>
  <si>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</si>
  <si>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</si>
  <si>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</si>
  <si>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</si>
  <si>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</si>
  <si>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</si>
  <si>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</si>
  <si>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</si>
  <si>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</si>
  <si>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</si>
  <si>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</si>
  <si>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</si>
  <si>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</si>
  <si>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</si>
  <si>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</si>
  <si>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</si>
  <si>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</si>
  <si>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</si>
  <si>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</si>
  <si>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</si>
  <si>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</si>
  <si>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</si>
  <si>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</si>
  <si>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</si>
  <si>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</si>
  <si>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</si>
  <si>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</si>
  <si>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</si>
  <si>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</si>
  <si>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</si>
  <si>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</si>
  <si>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</si>
  <si>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</si>
  <si>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</si>
  <si>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</si>
  <si>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</si>
  <si>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</si>
  <si>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</si>
  <si>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</si>
  <si>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</si>
  <si>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</si>
  <si>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</si>
  <si>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</si>
  <si>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</si>
  <si>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</si>
  <si>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</si>
  <si>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</si>
  <si>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</si>
  <si>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</si>
  <si>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</si>
  <si>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</si>
  <si>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</si>
  <si>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</si>
  <si>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</si>
  <si>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</si>
  <si>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</si>
  <si>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KOREA(DEMOCRATIC PEOPLE`S REPUBLIC OF)</t>
  </si>
  <si>
    <t>KOREA (REPUBLIC OF)</t>
  </si>
  <si>
    <t>KUWAIT</t>
  </si>
  <si>
    <t>KYRGYZSTAN</t>
  </si>
  <si>
    <t>LAO PEOPLE`S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</si>
  <si>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</si>
  <si>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</si>
  <si>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</si>
  <si>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</si>
  <si>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</si>
  <si>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</si>
  <si>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</si>
  <si>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</si>
  <si>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</si>
  <si>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MACEDONIA(THE FORMER YUGOSLAV REPUBLIC OF)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</si>
  <si>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</si>
  <si>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</si>
  <si>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</si>
  <si>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</si>
  <si>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</si>
  <si>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</si>
  <si>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</si>
  <si>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</si>
  <si>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</si>
  <si>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</si>
  <si>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</si>
  <si>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</si>
  <si>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</si>
  <si>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MOLDOVA (REPUBLIC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</si>
  <si>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</si>
  <si>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</si>
  <si>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</si>
  <si>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</si>
  <si>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</si>
  <si>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</si>
  <si>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</si>
  <si>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</si>
  <si>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</si>
  <si>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</si>
  <si>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</si>
  <si>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</si>
  <si>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</si>
  <si>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</si>
  <si>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</si>
  <si>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</si>
  <si>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</si>
  <si>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</si>
  <si>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</si>
  <si>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</si>
  <si>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</si>
  <si>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</si>
  <si>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</si>
  <si>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</si>
  <si>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</si>
  <si>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</si>
  <si>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</si>
  <si>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</si>
  <si>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</si>
  <si>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</si>
  <si>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</si>
  <si>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</si>
  <si>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</si>
  <si>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</si>
  <si>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</si>
  <si>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</si>
  <si>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</si>
  <si>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</si>
  <si>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BARTHELEMY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</si>
  <si>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</si>
  <si>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</si>
  <si>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</si>
  <si>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</si>
  <si>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</si>
  <si>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</si>
  <si>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</si>
  <si>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</si>
  <si>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</si>
  <si>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</si>
  <si>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</si>
  <si>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</si>
  <si>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</si>
  <si>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</si>
  <si>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</si>
  <si>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</si>
  <si>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</si>
  <si>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</si>
  <si>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</si>
  <si>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</si>
  <si>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</si>
  <si>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</si>
  <si>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</si>
  <si>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</si>
  <si>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</si>
  <si>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</si>
  <si>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</si>
  <si>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</si>
  <si>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</si>
  <si>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</si>
  <si>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</si>
  <si>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</si>
  <si>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CHINA[A]</t>
  </si>
  <si>
    <t>TAJIKISTAN</t>
  </si>
  <si>
    <t>TANZANIA, UNITED REPUBLIC OF</t>
  </si>
  <si>
    <t>THAILAND</t>
  </si>
  <si>
    <t>TIMOR-LESTE (EAST TIMOR)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</si>
  <si>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</si>
  <si>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</si>
  <si>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</si>
  <si>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</si>
  <si>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</si>
  <si>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</si>
  <si>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</si>
  <si>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</si>
  <si>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</si>
  <si>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</si>
  <si>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</si>
  <si>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</si>
  <si>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 OF GREAT BRITAIN AND NORTHERN IRELAND</t>
  </si>
  <si>
    <t>UNITED STATES OF AMERICA</t>
  </si>
  <si>
    <t>UNITED STATES MINOR OUTLYING ISLANDS</t>
  </si>
  <si>
    <t>URUGUAY</t>
  </si>
  <si>
    <t>UZBEKISTAN</t>
  </si>
  <si>
    <t>VANUATU</t>
  </si>
  <si>
    <t>VENEZUELA (BOLIVARIAN REPUBLIC OF)</t>
  </si>
  <si>
    <t>VIET NAM</t>
  </si>
  <si>
    <t>VIRGIN ISLANDS (BRITISH)</t>
  </si>
  <si>
    <t>VIRGIN ISLANDS (U.S.)</t>
  </si>
  <si>
    <t>WALLIS AND FUTUNA</t>
  </si>
  <si>
    <t>WESTERN SAHARA</t>
  </si>
  <si>
    <t>YEMEN</t>
  </si>
  <si>
    <t>ZAMBIA</t>
  </si>
  <si>
    <t>ZIMBABWE</t>
  </si>
  <si>
    <t>OTHERS</t>
  </si>
  <si>
    <t>STATE</t>
  </si>
  <si>
    <t>ANDAMAN AND NICOBAR ISLANDS</t>
  </si>
  <si>
    <t>ANDHRA PRADESH</t>
  </si>
  <si>
    <t>ARUNACHAL PRADESH</t>
  </si>
  <si>
    <t>ASSAM</t>
  </si>
  <si>
    <t>BIHAR</t>
  </si>
  <si>
    <t>CHANDIGARH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</si>
  <si>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</si>
  <si>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</si>
  <si>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</si>
  <si>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</si>
  <si>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</si>
  <si>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</si>
  <si>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</si>
  <si>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</si>
  <si>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</si>
  <si>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</si>
  <si>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LAKHSWADEEP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</si>
  <si>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</si>
  <si>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</si>
  <si>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</si>
  <si>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</si>
  <si>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</si>
  <si>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</si>
  <si>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</si>
  <si>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ORISSA</t>
  </si>
  <si>
    <t>PUDUCHERRY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</si>
  <si>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</si>
  <si>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</si>
  <si>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</si>
  <si>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</si>
  <si>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</si>
  <si>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</si>
  <si>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</si>
  <si>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</si>
  <si>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</si>
  <si>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</si>
  <si>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UTTARANCHAL</t>
  </si>
  <si>
    <t>JHARKHAND</t>
  </si>
  <si>
    <t>TELANGANA</t>
  </si>
  <si>
    <t>LADAKH</t>
  </si>
  <si>
    <t>STATE OUTSIDE INDIA</t>
  </si>
  <si>
    <t>12c</t>
  </si>
  <si>
    <t>12d</t>
  </si>
  <si>
    <t>Income from Futures &amp; Options Trading - transferred to Profit and Loss account</t>
  </si>
  <si>
    <t>Turnover from Futures &amp; Options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</si>
</sst>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Protection="1"/>
    <xf numFmtId="0" fontId="0" fillId="0" borderId="1" xfId="0" applyBorder="1" applyProtection="1"/>
    <xf numFmtId="2" fontId="0" fillId="2" borderId="1" xfId="0" applyNumberFormat="1" applyFill="1" applyBorder="1" applyProtection="1">
      <protection locked="0"/>
    </xf>
    <xf numFmtId="2" fontId="0" fillId="0" borderId="1" xfId="0" applyNumberFormat="1" applyBorder="1" applyProtection="1"/>
    <xf numFmtId="0" fontId="3" fillId="0" borderId="0" xfId="1"/>
    <xf numFmtId="0" fontId="2" fillId="0" borderId="1" xfId="0" applyFont="1" applyBorder="1" applyAlignment="1" applyProtection="1"/>
    <xf numFmtId="0" fontId="0" fillId="0" borderId="1" xfId="0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0" fontId="0" fillId="2" borderId="1" xfId="0" applyFill="1" applyBorder="1" applyAlignment="1">
      <alignment horizontal="center"/>
    </xf>
    <xf numFmtId="0" fontId="2" fillId="0" borderId="2" xfId="0" applyFont="1" applyBorder="1" applyAlignment="1" applyProtection="1">
      <alignment horizontal="center"/>
    </xf>
    <xf numFmtId="2" fontId="3" fillId="2" borderId="1" xfId="1" applyNumberFormat="1" applyFill="1" applyBorder="1" applyProtection="1"/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0" fontId="0" fillId="0" borderId="2" xfId="0" applyBorder="1" applyAlignment="1" applyProtection="1">
      <alignment horizontal="center"/>
    </xf>
    <xf numFmtId="0" fontId="0" fillId="0" borderId="0" xfId="0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left"/>
    </xf>
    <xf numFmtId="4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right"/>
      <protection locked="0"/>
    </xf>
    <xf numFmtId="49" fontId="0" fillId="0" borderId="0" xfId="0" applyNumberFormat="1" applyAlignment="1" applyProtection="1">
      <alignment horizontal="right"/>
      <protection locked="0"/>
    </xf>
    <xf numFmtId="0" fontId="5" fillId="0" borderId="0" xfId="0" applyFont="1" applyProtection="1"/>
    <xf numFmtId="0" fontId="0" fillId="3" borderId="1" xfId="0" applyFill="1" applyBorder="1" applyAlignment="1" applyProtection="1">
      <alignment horizontal="center"/>
    </xf>
    <xf numFmtId="0" fontId="0" fillId="0" borderId="1" xfId="0" applyBorder="1" applyProtection="1"/>
    <xf numFmtId="0" fontId="2" fillId="0" borderId="1" xfId="0" applyFont="1" applyBorder="1" applyAlignment="1" applyProtection="1"/>
    <xf numFmtId="0" fontId="2" fillId="0" borderId="1" xfId="0" applyFont="1" applyBorder="1" applyProtection="1"/>
    <xf numFmtId="0" fontId="1" fillId="0" borderId="1" xfId="0" applyFont="1" applyBorder="1" applyAlignment="1" applyProtection="1">
      <alignment horizontal="left"/>
    </xf>
    <xf numFmtId="0" fontId="2" fillId="0" borderId="1" xfId="0" applyFont="1" applyBorder="1" applyAlignment="1" applyProtection="1">
      <alignment horizontal="left"/>
    </xf>
    <xf numFmtId="0" fontId="2" fillId="0" borderId="1" xfId="0" applyFont="1" applyBorder="1" applyAlignment="1" applyProtection="1">
      <alignment vertical="center"/>
    </xf>
    <xf numFmtId="0" fontId="1" fillId="0" borderId="1" xfId="0" applyFont="1" applyBorder="1" applyProtection="1"/>
    <xf numFmtId="0" fontId="2" fillId="0" borderId="2" xfId="0" applyFont="1" applyBorder="1" applyAlignment="1" applyProtection="1"/>
    <xf numFmtId="0" fontId="2" fillId="0" borderId="3" xfId="0" applyFont="1" applyBorder="1" applyAlignment="1" applyProtection="1"/>
    <xf numFmtId="0" fontId="2" fillId="0" borderId="4" xfId="0" applyFont="1" applyBorder="1" applyAlignment="1" applyProtection="1"/>
    <xf numFmtId="0" fontId="4" fillId="0" borderId="5" xfId="0" applyFont="1" applyBorder="1"/>
    <xf numFmtId="0" fontId="0" fillId="0" borderId="2" xfId="0" applyBorder="1" applyAlignment="1" applyProtection="1"/>
    <xf numFmtId="0" fontId="0" fillId="0" borderId="3" xfId="0" applyBorder="1" applyAlignment="1" applyProtection="1"/>
    <xf numFmtId="0" fontId="0" fillId="0" borderId="4" xfId="0" applyBorder="1" applyAlignment="1" applyProtection="1"/>
    <xf numFmtId="0" fontId="0" fillId="0" borderId="2" xfId="0" applyBorder="1" applyProtection="1"/>
    <xf numFmtId="0" fontId="0" fillId="0" borderId="3" xfId="0" applyBorder="1" applyProtection="1"/>
    <xf numFmtId="0" fontId="0" fillId="0" borderId="4" xfId="0" applyBorder="1" applyProtection="1"/>
    <xf numFmtId="0" fontId="0" fillId="0" borderId="2" xfId="0" applyBorder="1" applyAlignment="1" applyProtection="1">
      <alignment wrapText="1"/>
    </xf>
    <xf numFmtId="0" fontId="0" fillId="0" borderId="5" xfId="0" applyBorder="1"/>
    <xf numFmtId="0" fontId="4" fillId="0" borderId="5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workbookViewId="0">
      <selection activeCell="E6" sqref="E6:G6"/>
    </sheetView>
  </sheetViews>
  <sheetFormatPr defaultRowHeight="15" x14ac:dyDescent="0.25"/>
  <cols>
    <col min="1" max="1" width="5.42578125" style="8" customWidth="1"/>
    <col min="2" max="2" width="6.140625" style="8" customWidth="1"/>
    <col min="3" max="3" width="4.42578125" style="8" customWidth="1"/>
    <col min="4" max="4" width="4.28515625" style="8" customWidth="1"/>
    <col min="5" max="5" width="4.140625" customWidth="1"/>
    <col min="6" max="6" width="6" customWidth="1"/>
    <col min="7" max="7" width="57.5703125" customWidth="1"/>
    <col min="8" max="8" width="5.7109375" style="8" customWidth="1"/>
    <col min="9" max="9" width="21.42578125" customWidth="1"/>
    <col min="10" max="10" width="6.28515625" style="8" customWidth="1"/>
    <col min="11" max="11" width="20.140625" customWidth="1"/>
  </cols>
  <sheetData>
    <row r="1" spans="1:12" x14ac:dyDescent="0.25">
      <c r="A1" s="10" t="s">
        <v>0</v>
      </c>
      <c r="B1" s="31" t="s">
        <v>53</v>
      </c>
      <c r="C1" s="31"/>
      <c r="D1" s="31"/>
      <c r="E1" s="31"/>
      <c r="F1" s="31"/>
      <c r="G1" s="31"/>
      <c r="H1" s="31"/>
      <c r="I1" s="31"/>
      <c r="J1" s="31"/>
      <c r="K1" s="31"/>
    </row>
    <row r="2" spans="1:12" x14ac:dyDescent="0.25">
      <c r="A2" s="7"/>
      <c r="B2" s="9">
        <v>1</v>
      </c>
      <c r="C2" s="32" t="s">
        <v>54</v>
      </c>
      <c r="D2" s="32"/>
      <c r="E2" s="32"/>
      <c r="F2" s="32"/>
      <c r="G2" s="32"/>
      <c r="H2" s="32"/>
      <c r="I2" s="32"/>
      <c r="J2" s="27"/>
      <c r="K2" s="27"/>
    </row>
    <row r="3" spans="1:12" x14ac:dyDescent="0.25">
      <c r="A3" s="7"/>
      <c r="B3" s="7"/>
      <c r="C3" s="9" t="s">
        <v>10</v>
      </c>
      <c r="D3" s="32" t="s">
        <v>55</v>
      </c>
      <c r="E3" s="32"/>
      <c r="F3" s="32"/>
      <c r="G3" s="32"/>
      <c r="H3" s="32"/>
      <c r="I3" s="32"/>
      <c r="J3" s="7" t="s">
        <v>10</v>
      </c>
      <c r="K3" s="3"/>
    </row>
    <row r="4" spans="1:12" x14ac:dyDescent="0.25">
      <c r="A4" s="7"/>
      <c r="B4" s="7"/>
      <c r="C4" s="7" t="s">
        <v>11</v>
      </c>
      <c r="D4" s="32" t="s">
        <v>6</v>
      </c>
      <c r="E4" s="32"/>
      <c r="F4" s="32"/>
      <c r="G4" s="32"/>
      <c r="H4" s="32"/>
      <c r="I4" s="32"/>
      <c r="J4" s="27"/>
      <c r="K4" s="27"/>
    </row>
    <row r="5" spans="1:12" x14ac:dyDescent="0.25">
      <c r="A5" s="7"/>
      <c r="B5" s="7"/>
      <c r="C5" s="7"/>
      <c r="D5" s="9" t="s">
        <v>1</v>
      </c>
      <c r="E5" s="32" t="s">
        <v>15</v>
      </c>
      <c r="F5" s="32"/>
      <c r="G5" s="32"/>
      <c r="H5" s="7" t="s">
        <v>46</v>
      </c>
      <c r="I5" s="3"/>
      <c r="J5" s="27"/>
      <c r="K5" s="27"/>
    </row>
    <row r="6" spans="1:12" x14ac:dyDescent="0.25">
      <c r="A6" s="7"/>
      <c r="B6" s="7"/>
      <c r="C6" s="7"/>
      <c r="D6" s="9" t="s">
        <v>2</v>
      </c>
      <c r="E6" s="32" t="s">
        <v>14</v>
      </c>
      <c r="F6" s="32"/>
      <c r="G6" s="32"/>
      <c r="H6" s="7" t="s">
        <v>47</v>
      </c>
      <c r="I6" s="3"/>
      <c r="J6" s="27"/>
      <c r="K6" s="27"/>
    </row>
    <row r="7" spans="1:12" x14ac:dyDescent="0.25">
      <c r="A7" s="7"/>
      <c r="B7" s="7"/>
      <c r="C7" s="7"/>
      <c r="D7" s="9" t="s">
        <v>3</v>
      </c>
      <c r="E7" s="32" t="s">
        <v>56</v>
      </c>
      <c r="F7" s="32"/>
      <c r="G7" s="32"/>
      <c r="H7" s="7" t="s">
        <v>48</v>
      </c>
      <c r="I7" s="3"/>
      <c r="J7" s="27"/>
      <c r="K7" s="27"/>
    </row>
    <row r="8" spans="1:12" x14ac:dyDescent="0.25">
      <c r="A8" s="7"/>
      <c r="B8" s="7"/>
      <c r="C8" s="7"/>
      <c r="D8" s="9" t="s">
        <v>4</v>
      </c>
      <c r="E8" s="30" t="s">
        <v>57</v>
      </c>
      <c r="F8" s="30"/>
      <c r="G8" s="30"/>
      <c r="H8" s="7" t="s">
        <v>49</v>
      </c>
      <c r="I8" s="3"/>
      <c r="J8" s="27"/>
      <c r="K8" s="27"/>
    </row>
    <row r="9" spans="1:12" x14ac:dyDescent="0.25">
      <c r="A9" s="7"/>
      <c r="B9" s="7"/>
      <c r="C9" s="7"/>
      <c r="D9" s="9" t="s">
        <v>7</v>
      </c>
      <c r="E9" s="30" t="s">
        <v>58</v>
      </c>
      <c r="F9" s="30"/>
      <c r="G9" s="30"/>
      <c r="H9" s="7" t="s">
        <v>50</v>
      </c>
      <c r="I9" s="3"/>
      <c r="J9" s="27"/>
      <c r="K9" s="27"/>
    </row>
    <row r="10" spans="1:12" x14ac:dyDescent="0.25">
      <c r="A10" s="7"/>
      <c r="B10" s="7"/>
      <c r="C10" s="7"/>
      <c r="D10" s="7" t="s">
        <v>8</v>
      </c>
      <c r="E10" s="33" t="s">
        <v>67</v>
      </c>
      <c r="F10" s="33"/>
      <c r="G10" s="33"/>
      <c r="H10" s="33"/>
      <c r="I10" s="33"/>
      <c r="J10" s="7" t="s">
        <v>51</v>
      </c>
      <c r="K10" s="4">
        <f>SUM(I5:I9)</f>
        <v>0</v>
      </c>
    </row>
    <row r="11" spans="1:12" x14ac:dyDescent="0.25">
      <c r="A11" s="7"/>
      <c r="B11" s="7"/>
      <c r="C11" s="7" t="s">
        <v>12</v>
      </c>
      <c r="D11" s="30" t="s">
        <v>68</v>
      </c>
      <c r="E11" s="30"/>
      <c r="F11" s="30"/>
      <c r="G11" s="30"/>
      <c r="H11" s="30"/>
      <c r="I11" s="30"/>
      <c r="J11" s="7" t="s">
        <v>60</v>
      </c>
      <c r="K11" s="4">
        <f>SUM(K3,K10)</f>
        <v>0</v>
      </c>
      <c r="L11" s="5"/>
    </row>
    <row r="12" spans="1:12" x14ac:dyDescent="0.25">
      <c r="A12" s="7"/>
      <c r="B12" s="7">
        <v>2</v>
      </c>
      <c r="C12" s="30" t="s">
        <v>61</v>
      </c>
      <c r="D12" s="30"/>
      <c r="E12" s="30"/>
      <c r="F12" s="30"/>
      <c r="G12" s="30"/>
      <c r="H12" s="30"/>
      <c r="I12" s="30"/>
      <c r="J12" s="27"/>
      <c r="K12" s="27"/>
    </row>
    <row r="13" spans="1:12" x14ac:dyDescent="0.25">
      <c r="A13" s="7"/>
      <c r="B13" s="7"/>
      <c r="C13" s="7" t="s">
        <v>10</v>
      </c>
      <c r="D13" s="30" t="s">
        <v>62</v>
      </c>
      <c r="E13" s="30"/>
      <c r="F13" s="30"/>
      <c r="G13" s="30"/>
      <c r="H13" s="30"/>
      <c r="I13" s="30"/>
      <c r="J13" s="27"/>
      <c r="K13" s="27"/>
    </row>
    <row r="14" spans="1:12" x14ac:dyDescent="0.25">
      <c r="A14" s="7"/>
      <c r="B14" s="7"/>
      <c r="C14" s="7"/>
      <c r="D14" s="7" t="s">
        <v>1</v>
      </c>
      <c r="E14" s="29" t="s">
        <v>63</v>
      </c>
      <c r="F14" s="29"/>
      <c r="G14" s="29"/>
      <c r="H14" s="7" t="s">
        <v>64</v>
      </c>
      <c r="I14" s="3"/>
      <c r="J14" s="27"/>
      <c r="K14" s="27"/>
    </row>
    <row r="15" spans="1:12" x14ac:dyDescent="0.25">
      <c r="A15" s="7"/>
      <c r="B15" s="7"/>
      <c r="C15" s="7"/>
      <c r="D15" s="7" t="s">
        <v>2</v>
      </c>
      <c r="E15" s="28" t="s">
        <v>65</v>
      </c>
      <c r="F15" s="28"/>
      <c r="G15" s="28"/>
      <c r="H15" s="28"/>
      <c r="I15" s="28"/>
      <c r="J15" s="27"/>
      <c r="K15" s="27"/>
    </row>
    <row r="16" spans="1:12" x14ac:dyDescent="0.25">
      <c r="A16" s="7"/>
      <c r="B16" s="7"/>
      <c r="C16" s="7"/>
      <c r="D16" s="7"/>
      <c r="E16" s="2" t="s">
        <v>0</v>
      </c>
      <c r="F16" s="30" t="s">
        <v>18</v>
      </c>
      <c r="G16" s="30"/>
      <c r="H16" s="7" t="s">
        <v>75</v>
      </c>
      <c r="I16" s="3"/>
      <c r="J16" s="27"/>
      <c r="K16" s="27"/>
    </row>
    <row r="17" spans="1:11" x14ac:dyDescent="0.25">
      <c r="A17" s="7"/>
      <c r="B17" s="7"/>
      <c r="C17" s="7"/>
      <c r="D17" s="7"/>
      <c r="E17" s="2" t="s">
        <v>5</v>
      </c>
      <c r="F17" s="30" t="s">
        <v>19</v>
      </c>
      <c r="G17" s="30"/>
      <c r="H17" s="7" t="s">
        <v>76</v>
      </c>
      <c r="I17" s="3"/>
      <c r="J17" s="27"/>
      <c r="K17" s="27"/>
    </row>
    <row r="18" spans="1:11" x14ac:dyDescent="0.25">
      <c r="A18" s="7"/>
      <c r="B18" s="7"/>
      <c r="C18" s="7"/>
      <c r="D18" s="7"/>
      <c r="E18" s="2" t="s">
        <v>16</v>
      </c>
      <c r="F18" s="30" t="s">
        <v>66</v>
      </c>
      <c r="G18" s="30"/>
      <c r="H18" s="7" t="s">
        <v>77</v>
      </c>
      <c r="I18" s="4">
        <f>SUM(I16:I17)</f>
        <v>0</v>
      </c>
      <c r="J18" s="27"/>
      <c r="K18" s="27"/>
    </row>
    <row r="19" spans="1:11" x14ac:dyDescent="0.25">
      <c r="A19" s="7"/>
      <c r="B19" s="7"/>
      <c r="C19" s="7"/>
      <c r="D19" s="7" t="s">
        <v>3</v>
      </c>
      <c r="E19" s="28" t="s">
        <v>167</v>
      </c>
      <c r="F19" s="28"/>
      <c r="G19" s="28"/>
      <c r="H19" s="28"/>
      <c r="I19" s="28"/>
      <c r="J19" s="7" t="s">
        <v>69</v>
      </c>
      <c r="K19" s="4">
        <f>SUM(I14,I18)</f>
        <v>0</v>
      </c>
    </row>
    <row r="20" spans="1:11" x14ac:dyDescent="0.25">
      <c r="A20" s="7"/>
      <c r="B20" s="7"/>
      <c r="C20" s="7" t="s">
        <v>11</v>
      </c>
      <c r="D20" s="28" t="s">
        <v>70</v>
      </c>
      <c r="E20" s="28"/>
      <c r="F20" s="28"/>
      <c r="G20" s="28"/>
      <c r="H20" s="28"/>
      <c r="I20" s="28"/>
      <c r="J20" s="27"/>
      <c r="K20" s="27"/>
    </row>
    <row r="21" spans="1:11" x14ac:dyDescent="0.25">
      <c r="A21" s="7"/>
      <c r="B21" s="7"/>
      <c r="C21" s="7"/>
      <c r="D21" s="7" t="s">
        <v>1</v>
      </c>
      <c r="E21" s="28" t="s">
        <v>63</v>
      </c>
      <c r="F21" s="28"/>
      <c r="G21" s="28"/>
      <c r="H21" s="7" t="s">
        <v>71</v>
      </c>
      <c r="I21" s="3"/>
      <c r="J21" s="27"/>
      <c r="K21" s="27"/>
    </row>
    <row r="22" spans="1:11" x14ac:dyDescent="0.25">
      <c r="A22" s="7"/>
      <c r="B22" s="7"/>
      <c r="C22" s="7"/>
      <c r="D22" s="7" t="s">
        <v>2</v>
      </c>
      <c r="E22" s="28" t="s">
        <v>65</v>
      </c>
      <c r="F22" s="28"/>
      <c r="G22" s="28"/>
      <c r="H22" s="28"/>
      <c r="I22" s="28"/>
      <c r="J22" s="27"/>
      <c r="K22" s="27"/>
    </row>
    <row r="23" spans="1:11" x14ac:dyDescent="0.25">
      <c r="A23" s="7"/>
      <c r="B23" s="7"/>
      <c r="C23" s="7"/>
      <c r="D23" s="7"/>
      <c r="E23" s="2" t="s">
        <v>0</v>
      </c>
      <c r="F23" s="28" t="s">
        <v>18</v>
      </c>
      <c r="G23" s="28"/>
      <c r="H23" s="7" t="s">
        <v>75</v>
      </c>
      <c r="I23" s="3"/>
      <c r="J23" s="27"/>
      <c r="K23" s="27"/>
    </row>
    <row r="24" spans="1:11" x14ac:dyDescent="0.25">
      <c r="A24" s="7"/>
      <c r="B24" s="7"/>
      <c r="C24" s="7"/>
      <c r="D24" s="7"/>
      <c r="E24" s="2" t="s">
        <v>5</v>
      </c>
      <c r="F24" s="28" t="s">
        <v>72</v>
      </c>
      <c r="G24" s="28"/>
      <c r="H24" s="7" t="s">
        <v>76</v>
      </c>
      <c r="I24" s="3"/>
      <c r="J24" s="27"/>
      <c r="K24" s="27"/>
    </row>
    <row r="25" spans="1:11" x14ac:dyDescent="0.25">
      <c r="A25" s="7"/>
      <c r="B25" s="7"/>
      <c r="C25" s="7"/>
      <c r="D25" s="7"/>
      <c r="E25" s="2" t="s">
        <v>16</v>
      </c>
      <c r="F25" s="28" t="s">
        <v>19</v>
      </c>
      <c r="G25" s="28"/>
      <c r="H25" s="7" t="s">
        <v>77</v>
      </c>
      <c r="I25" s="3"/>
      <c r="J25" s="27"/>
      <c r="K25" s="27"/>
    </row>
    <row r="26" spans="1:11" x14ac:dyDescent="0.25">
      <c r="A26" s="7"/>
      <c r="B26" s="7"/>
      <c r="C26" s="7"/>
      <c r="D26" s="7"/>
      <c r="E26" s="2" t="s">
        <v>17</v>
      </c>
      <c r="F26" s="28" t="s">
        <v>73</v>
      </c>
      <c r="G26" s="28"/>
      <c r="H26" s="7" t="s">
        <v>78</v>
      </c>
      <c r="I26" s="4">
        <f>SUM(I23:I25)</f>
        <v>0</v>
      </c>
      <c r="J26" s="27"/>
      <c r="K26" s="27"/>
    </row>
    <row r="27" spans="1:11" x14ac:dyDescent="0.25">
      <c r="A27" s="7"/>
      <c r="B27" s="7"/>
      <c r="C27" s="7"/>
      <c r="D27" s="7" t="s">
        <v>3</v>
      </c>
      <c r="E27" s="28" t="s">
        <v>168</v>
      </c>
      <c r="F27" s="28"/>
      <c r="G27" s="28"/>
      <c r="H27" s="28"/>
      <c r="I27" s="28"/>
      <c r="J27" s="7" t="s">
        <v>48</v>
      </c>
      <c r="K27" s="4">
        <f>SUM(I21,I26)</f>
        <v>0</v>
      </c>
    </row>
    <row r="28" spans="1:11" x14ac:dyDescent="0.25">
      <c r="A28" s="7"/>
      <c r="B28" s="7"/>
      <c r="C28" s="7" t="s">
        <v>16</v>
      </c>
      <c r="D28" s="28" t="s">
        <v>74</v>
      </c>
      <c r="E28" s="28"/>
      <c r="F28" s="28"/>
      <c r="G28" s="28"/>
      <c r="H28" s="28"/>
      <c r="I28" s="28"/>
      <c r="J28" s="7" t="s">
        <v>79</v>
      </c>
      <c r="K28" s="4">
        <f>SUM(K19,K27)</f>
        <v>0</v>
      </c>
    </row>
    <row r="29" spans="1:11" x14ac:dyDescent="0.25">
      <c r="A29" s="7"/>
      <c r="B29" s="7">
        <v>3</v>
      </c>
      <c r="C29" s="28" t="s">
        <v>80</v>
      </c>
      <c r="D29" s="28"/>
      <c r="E29" s="28"/>
      <c r="F29" s="28"/>
      <c r="G29" s="28"/>
      <c r="H29" s="28"/>
      <c r="I29" s="28"/>
      <c r="J29" s="7">
        <v>3</v>
      </c>
      <c r="K29" s="3"/>
    </row>
    <row r="30" spans="1:11" x14ac:dyDescent="0.25">
      <c r="A30" s="7"/>
      <c r="B30" s="7">
        <v>4</v>
      </c>
      <c r="C30" s="28" t="s">
        <v>81</v>
      </c>
      <c r="D30" s="28"/>
      <c r="E30" s="28"/>
      <c r="F30" s="28"/>
      <c r="G30" s="28"/>
      <c r="H30" s="28"/>
      <c r="I30" s="28"/>
      <c r="J30" s="27"/>
      <c r="K30" s="27"/>
    </row>
    <row r="31" spans="1:11" x14ac:dyDescent="0.25">
      <c r="A31" s="7"/>
      <c r="B31" s="7"/>
      <c r="C31" s="7" t="s">
        <v>1</v>
      </c>
      <c r="D31" s="30" t="s">
        <v>82</v>
      </c>
      <c r="E31" s="30"/>
      <c r="F31" s="30"/>
      <c r="G31" s="30"/>
      <c r="H31" s="7" t="s">
        <v>1</v>
      </c>
      <c r="I31" s="3"/>
      <c r="J31" s="27"/>
      <c r="K31" s="27"/>
    </row>
    <row r="32" spans="1:11" x14ac:dyDescent="0.25">
      <c r="A32" s="7"/>
      <c r="B32" s="7"/>
      <c r="C32" s="7" t="s">
        <v>2</v>
      </c>
      <c r="D32" s="30" t="s">
        <v>19</v>
      </c>
      <c r="E32" s="30"/>
      <c r="F32" s="30"/>
      <c r="G32" s="30"/>
      <c r="H32" s="7" t="s">
        <v>2</v>
      </c>
      <c r="I32" s="3"/>
      <c r="J32" s="27"/>
      <c r="K32" s="27"/>
    </row>
    <row r="33" spans="1:11" x14ac:dyDescent="0.25">
      <c r="A33" s="7"/>
      <c r="B33" s="7"/>
      <c r="C33" s="7" t="s">
        <v>3</v>
      </c>
      <c r="D33" s="30" t="s">
        <v>83</v>
      </c>
      <c r="E33" s="30"/>
      <c r="F33" s="30"/>
      <c r="G33" s="30"/>
      <c r="H33" s="30"/>
      <c r="I33" s="30"/>
      <c r="J33" s="7" t="s">
        <v>84</v>
      </c>
      <c r="K33" s="4">
        <f>SUM(I31:I32)</f>
        <v>0</v>
      </c>
    </row>
    <row r="34" spans="1:11" x14ac:dyDescent="0.25">
      <c r="A34" s="7"/>
      <c r="B34" s="7">
        <v>5</v>
      </c>
      <c r="C34" s="28" t="s">
        <v>85</v>
      </c>
      <c r="D34" s="28"/>
      <c r="E34" s="28"/>
      <c r="F34" s="28"/>
      <c r="G34" s="28"/>
      <c r="H34" s="28"/>
      <c r="I34" s="28"/>
      <c r="J34" s="7">
        <v>5</v>
      </c>
      <c r="K34" s="4">
        <f>SUM(K11,K28,K29,K33)</f>
        <v>0</v>
      </c>
    </row>
    <row r="35" spans="1:11" x14ac:dyDescent="0.25">
      <c r="A35" s="7" t="s">
        <v>5</v>
      </c>
      <c r="B35" s="34" t="s">
        <v>86</v>
      </c>
      <c r="C35" s="34"/>
      <c r="D35" s="34"/>
      <c r="E35" s="34"/>
      <c r="F35" s="34"/>
      <c r="G35" s="34"/>
      <c r="H35" s="34"/>
      <c r="I35" s="34"/>
      <c r="J35" s="27"/>
      <c r="K35" s="27"/>
    </row>
    <row r="36" spans="1:11" x14ac:dyDescent="0.25">
      <c r="A36" s="7"/>
      <c r="B36" s="7">
        <v>1</v>
      </c>
      <c r="C36" s="30" t="s">
        <v>27</v>
      </c>
      <c r="D36" s="30"/>
      <c r="E36" s="30"/>
      <c r="F36" s="30"/>
      <c r="G36" s="30"/>
      <c r="H36" s="30"/>
      <c r="I36" s="30"/>
      <c r="J36" s="27"/>
      <c r="K36" s="27"/>
    </row>
    <row r="37" spans="1:11" x14ac:dyDescent="0.25">
      <c r="A37" s="7"/>
      <c r="B37" s="7"/>
      <c r="C37" s="7" t="s">
        <v>10</v>
      </c>
      <c r="D37" s="30" t="s">
        <v>87</v>
      </c>
      <c r="E37" s="30"/>
      <c r="F37" s="30"/>
      <c r="G37" s="30"/>
      <c r="H37" s="7" t="s">
        <v>89</v>
      </c>
      <c r="I37" s="3"/>
      <c r="J37" s="27"/>
      <c r="K37" s="27"/>
    </row>
    <row r="38" spans="1:11" x14ac:dyDescent="0.25">
      <c r="A38" s="7"/>
      <c r="B38" s="7"/>
      <c r="C38" s="7" t="s">
        <v>11</v>
      </c>
      <c r="D38" s="30" t="s">
        <v>28</v>
      </c>
      <c r="E38" s="30"/>
      <c r="F38" s="30"/>
      <c r="G38" s="30"/>
      <c r="H38" s="7" t="s">
        <v>90</v>
      </c>
      <c r="I38" s="3"/>
      <c r="J38" s="27"/>
      <c r="K38" s="27"/>
    </row>
    <row r="39" spans="1:11" x14ac:dyDescent="0.25">
      <c r="A39" s="7"/>
      <c r="B39" s="7"/>
      <c r="C39" s="7" t="s">
        <v>12</v>
      </c>
      <c r="D39" s="30" t="s">
        <v>88</v>
      </c>
      <c r="E39" s="30"/>
      <c r="F39" s="30"/>
      <c r="G39" s="30"/>
      <c r="H39" s="7" t="s">
        <v>60</v>
      </c>
      <c r="I39" s="4">
        <f>I37-I38</f>
        <v>0</v>
      </c>
      <c r="J39" s="27"/>
      <c r="K39" s="27"/>
    </row>
    <row r="40" spans="1:11" x14ac:dyDescent="0.25">
      <c r="A40" s="7"/>
      <c r="B40" s="7"/>
      <c r="C40" s="7" t="s">
        <v>23</v>
      </c>
      <c r="D40" s="30" t="s">
        <v>29</v>
      </c>
      <c r="E40" s="30"/>
      <c r="F40" s="30"/>
      <c r="G40" s="30"/>
      <c r="H40" s="7" t="s">
        <v>91</v>
      </c>
      <c r="I40" s="3"/>
      <c r="J40" s="27"/>
      <c r="K40" s="27"/>
    </row>
    <row r="41" spans="1:11" x14ac:dyDescent="0.25">
      <c r="A41" s="7"/>
      <c r="B41" s="7"/>
      <c r="C41" s="7" t="s">
        <v>24</v>
      </c>
      <c r="D41" s="30" t="s">
        <v>92</v>
      </c>
      <c r="E41" s="30"/>
      <c r="F41" s="30"/>
      <c r="G41" s="30"/>
      <c r="H41" s="30"/>
      <c r="I41" s="30"/>
      <c r="J41" s="7" t="s">
        <v>93</v>
      </c>
      <c r="K41" s="4">
        <f>SUM(I39:I40)</f>
        <v>0</v>
      </c>
    </row>
    <row r="42" spans="1:11" x14ac:dyDescent="0.25">
      <c r="A42" s="7"/>
      <c r="B42" s="7">
        <v>2</v>
      </c>
      <c r="C42" s="30" t="s">
        <v>94</v>
      </c>
      <c r="D42" s="30"/>
      <c r="E42" s="30"/>
      <c r="F42" s="30"/>
      <c r="G42" s="30"/>
      <c r="H42" s="30"/>
      <c r="I42" s="30"/>
      <c r="J42" s="27"/>
      <c r="K42" s="27"/>
    </row>
    <row r="43" spans="1:11" x14ac:dyDescent="0.25">
      <c r="A43" s="7"/>
      <c r="B43" s="7"/>
      <c r="C43" s="9" t="s">
        <v>10</v>
      </c>
      <c r="D43" s="29" t="s">
        <v>95</v>
      </c>
      <c r="E43" s="29"/>
      <c r="F43" s="29"/>
      <c r="G43" s="29"/>
      <c r="H43" s="29"/>
      <c r="I43" s="29"/>
      <c r="J43" s="27"/>
      <c r="K43" s="27"/>
    </row>
    <row r="44" spans="1:11" x14ac:dyDescent="0.25">
      <c r="A44" s="7"/>
      <c r="B44" s="7"/>
      <c r="C44" s="7"/>
      <c r="D44" s="7" t="s">
        <v>1</v>
      </c>
      <c r="E44" s="30" t="s">
        <v>30</v>
      </c>
      <c r="F44" s="30"/>
      <c r="G44" s="30"/>
      <c r="H44" s="7" t="s">
        <v>1</v>
      </c>
      <c r="I44" s="3"/>
      <c r="J44" s="27"/>
      <c r="K44" s="27"/>
    </row>
    <row r="45" spans="1:11" x14ac:dyDescent="0.25">
      <c r="A45" s="7"/>
      <c r="B45" s="7"/>
      <c r="C45" s="7"/>
      <c r="D45" s="7" t="s">
        <v>2</v>
      </c>
      <c r="E45" s="30" t="s">
        <v>96</v>
      </c>
      <c r="F45" s="30"/>
      <c r="G45" s="30"/>
      <c r="H45" s="30"/>
      <c r="I45" s="30"/>
      <c r="J45" s="27"/>
      <c r="K45" s="27"/>
    </row>
    <row r="46" spans="1:11" x14ac:dyDescent="0.25">
      <c r="A46" s="7"/>
      <c r="B46" s="7"/>
      <c r="C46" s="7"/>
      <c r="D46" s="7"/>
      <c r="E46" s="1" t="s">
        <v>0</v>
      </c>
      <c r="F46" s="30" t="s">
        <v>31</v>
      </c>
      <c r="G46" s="30"/>
      <c r="H46" s="7" t="s">
        <v>75</v>
      </c>
      <c r="I46" s="3"/>
      <c r="J46" s="27"/>
      <c r="K46" s="27"/>
    </row>
    <row r="47" spans="1:11" x14ac:dyDescent="0.25">
      <c r="A47" s="7"/>
      <c r="B47" s="7"/>
      <c r="C47" s="7"/>
      <c r="D47" s="7"/>
      <c r="E47" s="1" t="s">
        <v>5</v>
      </c>
      <c r="F47" s="30" t="s">
        <v>32</v>
      </c>
      <c r="G47" s="30"/>
      <c r="H47" s="7" t="s">
        <v>76</v>
      </c>
      <c r="I47" s="3"/>
      <c r="J47" s="27"/>
      <c r="K47" s="27"/>
    </row>
    <row r="48" spans="1:11" x14ac:dyDescent="0.25">
      <c r="A48" s="7"/>
      <c r="B48" s="7"/>
      <c r="C48" s="7"/>
      <c r="D48" s="7"/>
      <c r="E48" s="1" t="s">
        <v>16</v>
      </c>
      <c r="F48" s="30" t="s">
        <v>97</v>
      </c>
      <c r="G48" s="30"/>
      <c r="H48" s="7" t="s">
        <v>77</v>
      </c>
      <c r="I48" s="4">
        <f>SUM(I46:I47)</f>
        <v>0</v>
      </c>
      <c r="J48" s="27"/>
      <c r="K48" s="27"/>
    </row>
    <row r="49" spans="1:11" x14ac:dyDescent="0.25">
      <c r="A49" s="7"/>
      <c r="B49" s="7"/>
      <c r="C49" s="7"/>
      <c r="D49" s="7" t="s">
        <v>3</v>
      </c>
      <c r="E49" s="30" t="s">
        <v>98</v>
      </c>
      <c r="F49" s="30"/>
      <c r="G49" s="30"/>
      <c r="H49" s="7" t="s">
        <v>3</v>
      </c>
      <c r="I49" s="3"/>
      <c r="J49" s="27"/>
      <c r="K49" s="27"/>
    </row>
    <row r="50" spans="1:11" x14ac:dyDescent="0.25">
      <c r="A50" s="7"/>
      <c r="B50" s="7"/>
      <c r="C50" s="7"/>
      <c r="D50" s="7" t="s">
        <v>4</v>
      </c>
      <c r="E50" s="30" t="s">
        <v>99</v>
      </c>
      <c r="F50" s="30"/>
      <c r="G50" s="30"/>
      <c r="H50" s="7" t="s">
        <v>4</v>
      </c>
      <c r="I50" s="3"/>
      <c r="J50" s="27"/>
      <c r="K50" s="27"/>
    </row>
    <row r="51" spans="1:11" x14ac:dyDescent="0.25">
      <c r="A51" s="7"/>
      <c r="B51" s="7"/>
      <c r="C51" s="7"/>
      <c r="D51" s="7" t="s">
        <v>7</v>
      </c>
      <c r="E51" s="30" t="s">
        <v>100</v>
      </c>
      <c r="F51" s="30"/>
      <c r="G51" s="30"/>
      <c r="H51" s="7" t="s">
        <v>7</v>
      </c>
      <c r="I51" s="3"/>
      <c r="J51" s="27"/>
      <c r="K51" s="27"/>
    </row>
    <row r="52" spans="1:11" x14ac:dyDescent="0.25">
      <c r="A52" s="7"/>
      <c r="B52" s="7"/>
      <c r="C52" s="7"/>
      <c r="D52" s="7" t="s">
        <v>8</v>
      </c>
      <c r="E52" s="30" t="s">
        <v>101</v>
      </c>
      <c r="F52" s="30"/>
      <c r="G52" s="30"/>
      <c r="H52" s="7" t="s">
        <v>8</v>
      </c>
      <c r="I52" s="3"/>
      <c r="J52" s="27"/>
      <c r="K52" s="27"/>
    </row>
    <row r="53" spans="1:11" x14ac:dyDescent="0.25">
      <c r="A53" s="7"/>
      <c r="B53" s="7"/>
      <c r="C53" s="7"/>
      <c r="D53" s="7" t="s">
        <v>9</v>
      </c>
      <c r="E53" s="30" t="s">
        <v>20</v>
      </c>
      <c r="F53" s="30"/>
      <c r="G53" s="30"/>
      <c r="H53" s="7" t="s">
        <v>9</v>
      </c>
      <c r="I53" s="3"/>
      <c r="J53" s="27"/>
      <c r="K53" s="27"/>
    </row>
    <row r="54" spans="1:11" x14ac:dyDescent="0.25">
      <c r="A54" s="7"/>
      <c r="B54" s="7"/>
      <c r="C54" s="7"/>
      <c r="D54" s="7" t="s">
        <v>13</v>
      </c>
      <c r="E54" s="30" t="s">
        <v>102</v>
      </c>
      <c r="F54" s="30"/>
      <c r="G54" s="30"/>
      <c r="H54" s="30"/>
      <c r="I54" s="30"/>
      <c r="J54" s="7" t="s">
        <v>103</v>
      </c>
      <c r="K54" s="4">
        <f>SUM(I44,I48:I53)</f>
        <v>0</v>
      </c>
    </row>
    <row r="55" spans="1:11" x14ac:dyDescent="0.25">
      <c r="A55" s="7"/>
      <c r="B55" s="7"/>
      <c r="C55" s="9" t="s">
        <v>11</v>
      </c>
      <c r="D55" s="29" t="s">
        <v>104</v>
      </c>
      <c r="E55" s="29"/>
      <c r="F55" s="29"/>
      <c r="G55" s="29"/>
      <c r="H55" s="29"/>
      <c r="I55" s="29"/>
      <c r="J55" s="27"/>
      <c r="K55" s="27"/>
    </row>
    <row r="56" spans="1:11" x14ac:dyDescent="0.25">
      <c r="A56" s="7"/>
      <c r="B56" s="7"/>
      <c r="C56" s="7"/>
      <c r="D56" s="7" t="s">
        <v>1</v>
      </c>
      <c r="E56" s="30" t="s">
        <v>96</v>
      </c>
      <c r="F56" s="30"/>
      <c r="G56" s="30"/>
      <c r="H56" s="30"/>
      <c r="I56" s="30"/>
      <c r="J56" s="27"/>
      <c r="K56" s="27"/>
    </row>
    <row r="57" spans="1:11" x14ac:dyDescent="0.25">
      <c r="A57" s="7"/>
      <c r="B57" s="7"/>
      <c r="C57" s="7"/>
      <c r="D57" s="7"/>
      <c r="E57" s="1" t="s">
        <v>0</v>
      </c>
      <c r="F57" s="30" t="s">
        <v>31</v>
      </c>
      <c r="G57" s="30"/>
      <c r="H57" s="7" t="s">
        <v>105</v>
      </c>
      <c r="I57" s="3"/>
      <c r="J57" s="27"/>
      <c r="K57" s="27"/>
    </row>
    <row r="58" spans="1:11" x14ac:dyDescent="0.25">
      <c r="A58" s="7"/>
      <c r="B58" s="7"/>
      <c r="C58" s="7"/>
      <c r="D58" s="7"/>
      <c r="E58" s="1" t="s">
        <v>5</v>
      </c>
      <c r="F58" s="30" t="s">
        <v>32</v>
      </c>
      <c r="G58" s="30"/>
      <c r="H58" s="7" t="s">
        <v>106</v>
      </c>
      <c r="I58" s="3"/>
      <c r="J58" s="27"/>
      <c r="K58" s="27"/>
    </row>
    <row r="59" spans="1:11" x14ac:dyDescent="0.25">
      <c r="A59" s="7"/>
      <c r="B59" s="7"/>
      <c r="C59" s="7"/>
      <c r="D59" s="7"/>
      <c r="E59" s="1" t="s">
        <v>16</v>
      </c>
      <c r="F59" s="30" t="s">
        <v>97</v>
      </c>
      <c r="G59" s="30"/>
      <c r="H59" s="7" t="s">
        <v>107</v>
      </c>
      <c r="I59" s="4">
        <f>SUM(I57:I58)</f>
        <v>0</v>
      </c>
      <c r="J59" s="27"/>
      <c r="K59" s="27"/>
    </row>
    <row r="60" spans="1:11" x14ac:dyDescent="0.25">
      <c r="A60" s="7"/>
      <c r="B60" s="7"/>
      <c r="C60" s="7"/>
      <c r="D60" s="7" t="s">
        <v>2</v>
      </c>
      <c r="E60" s="30" t="s">
        <v>98</v>
      </c>
      <c r="F60" s="30"/>
      <c r="G60" s="30"/>
      <c r="H60" s="7" t="s">
        <v>2</v>
      </c>
      <c r="I60" s="3"/>
      <c r="J60" s="27"/>
      <c r="K60" s="27"/>
    </row>
    <row r="61" spans="1:11" x14ac:dyDescent="0.25">
      <c r="A61" s="7"/>
      <c r="B61" s="7"/>
      <c r="C61" s="7"/>
      <c r="D61" s="7" t="s">
        <v>3</v>
      </c>
      <c r="E61" s="30" t="s">
        <v>99</v>
      </c>
      <c r="F61" s="30"/>
      <c r="G61" s="30"/>
      <c r="H61" s="7" t="s">
        <v>3</v>
      </c>
      <c r="I61" s="3"/>
      <c r="J61" s="27"/>
      <c r="K61" s="27"/>
    </row>
    <row r="62" spans="1:11" x14ac:dyDescent="0.25">
      <c r="A62" s="7"/>
      <c r="B62" s="7"/>
      <c r="C62" s="7"/>
      <c r="D62" s="7" t="s">
        <v>4</v>
      </c>
      <c r="E62" s="30" t="s">
        <v>100</v>
      </c>
      <c r="F62" s="30"/>
      <c r="G62" s="30"/>
      <c r="H62" s="7" t="s">
        <v>4</v>
      </c>
      <c r="I62" s="3"/>
      <c r="J62" s="27"/>
      <c r="K62" s="27"/>
    </row>
    <row r="63" spans="1:11" x14ac:dyDescent="0.25">
      <c r="A63" s="7"/>
      <c r="B63" s="7"/>
      <c r="C63" s="7"/>
      <c r="D63" s="7" t="s">
        <v>7</v>
      </c>
      <c r="E63" s="30" t="s">
        <v>101</v>
      </c>
      <c r="F63" s="30"/>
      <c r="G63" s="30"/>
      <c r="H63" s="7" t="s">
        <v>7</v>
      </c>
      <c r="I63" s="3"/>
      <c r="J63" s="27"/>
      <c r="K63" s="27"/>
    </row>
    <row r="64" spans="1:11" x14ac:dyDescent="0.25">
      <c r="A64" s="7"/>
      <c r="B64" s="7"/>
      <c r="C64" s="7"/>
      <c r="D64" s="7" t="s">
        <v>8</v>
      </c>
      <c r="E64" s="30" t="s">
        <v>20</v>
      </c>
      <c r="F64" s="30"/>
      <c r="G64" s="30"/>
      <c r="H64" s="7" t="s">
        <v>8</v>
      </c>
      <c r="I64" s="3"/>
      <c r="J64" s="27"/>
      <c r="K64" s="27"/>
    </row>
    <row r="65" spans="1:11" x14ac:dyDescent="0.25">
      <c r="A65" s="7"/>
      <c r="B65" s="7"/>
      <c r="C65" s="7"/>
      <c r="D65" s="7" t="s">
        <v>9</v>
      </c>
      <c r="E65" s="30" t="s">
        <v>108</v>
      </c>
      <c r="F65" s="30"/>
      <c r="G65" s="30"/>
      <c r="H65" s="30"/>
      <c r="I65" s="30"/>
      <c r="J65" s="7" t="s">
        <v>52</v>
      </c>
      <c r="K65" s="4">
        <f>SUM(I59:I64)</f>
        <v>0</v>
      </c>
    </row>
    <row r="66" spans="1:11" x14ac:dyDescent="0.25">
      <c r="A66" s="7"/>
      <c r="B66" s="7"/>
      <c r="C66" s="7" t="s">
        <v>12</v>
      </c>
      <c r="D66" s="30" t="s">
        <v>109</v>
      </c>
      <c r="E66" s="30"/>
      <c r="F66" s="30"/>
      <c r="G66" s="30"/>
      <c r="H66" s="30"/>
      <c r="I66" s="30"/>
      <c r="J66" s="7" t="s">
        <v>79</v>
      </c>
      <c r="K66" s="4">
        <f>SUM(K54,K65)</f>
        <v>0</v>
      </c>
    </row>
    <row r="67" spans="1:11" x14ac:dyDescent="0.25">
      <c r="A67" s="7"/>
      <c r="B67" s="7">
        <v>3</v>
      </c>
      <c r="C67" s="28" t="s">
        <v>110</v>
      </c>
      <c r="D67" s="28"/>
      <c r="E67" s="28"/>
      <c r="F67" s="28"/>
      <c r="G67" s="28"/>
      <c r="H67" s="28"/>
      <c r="I67" s="28"/>
      <c r="J67" s="27"/>
      <c r="K67" s="27"/>
    </row>
    <row r="68" spans="1:11" x14ac:dyDescent="0.25">
      <c r="A68" s="7"/>
      <c r="B68" s="7"/>
      <c r="C68" s="7" t="s">
        <v>10</v>
      </c>
      <c r="D68" s="30" t="s">
        <v>36</v>
      </c>
      <c r="E68" s="30"/>
      <c r="F68" s="30"/>
      <c r="G68" s="30"/>
      <c r="H68" s="30"/>
      <c r="I68" s="30"/>
      <c r="J68" s="27"/>
      <c r="K68" s="27"/>
    </row>
    <row r="69" spans="1:11" x14ac:dyDescent="0.25">
      <c r="A69" s="7"/>
      <c r="B69" s="7"/>
      <c r="C69" s="7"/>
      <c r="D69" s="9" t="s">
        <v>1</v>
      </c>
      <c r="E69" s="29" t="s">
        <v>37</v>
      </c>
      <c r="F69" s="29"/>
      <c r="G69" s="29"/>
      <c r="H69" s="29"/>
      <c r="I69" s="29"/>
      <c r="J69" s="27"/>
      <c r="K69" s="27"/>
    </row>
    <row r="70" spans="1:11" x14ac:dyDescent="0.25">
      <c r="A70" s="7"/>
      <c r="B70" s="7"/>
      <c r="C70" s="7"/>
      <c r="D70" s="7"/>
      <c r="E70" s="2" t="s">
        <v>0</v>
      </c>
      <c r="F70" s="29" t="s">
        <v>38</v>
      </c>
      <c r="G70" s="29"/>
      <c r="H70" s="7" t="s">
        <v>105</v>
      </c>
      <c r="I70" s="3"/>
      <c r="J70" s="27"/>
      <c r="K70" s="27"/>
    </row>
    <row r="71" spans="1:11" x14ac:dyDescent="0.25">
      <c r="A71" s="7"/>
      <c r="B71" s="7"/>
      <c r="C71" s="7"/>
      <c r="D71" s="7"/>
      <c r="E71" s="2" t="s">
        <v>5</v>
      </c>
      <c r="F71" s="29" t="s">
        <v>39</v>
      </c>
      <c r="G71" s="29"/>
      <c r="H71" s="7" t="s">
        <v>106</v>
      </c>
      <c r="I71" s="3"/>
      <c r="J71" s="27"/>
      <c r="K71" s="27"/>
    </row>
    <row r="72" spans="1:11" x14ac:dyDescent="0.25">
      <c r="A72" s="7"/>
      <c r="B72" s="7"/>
      <c r="C72" s="7"/>
      <c r="D72" s="7"/>
      <c r="E72" s="2" t="s">
        <v>16</v>
      </c>
      <c r="F72" s="29" t="s">
        <v>40</v>
      </c>
      <c r="G72" s="29"/>
      <c r="H72" s="7" t="s">
        <v>107</v>
      </c>
      <c r="I72" s="3"/>
      <c r="J72" s="27"/>
      <c r="K72" s="27"/>
    </row>
    <row r="73" spans="1:11" x14ac:dyDescent="0.25">
      <c r="A73" s="7"/>
      <c r="B73" s="7"/>
      <c r="C73" s="7"/>
      <c r="D73" s="7"/>
      <c r="E73" s="2" t="s">
        <v>17</v>
      </c>
      <c r="F73" s="29" t="s">
        <v>41</v>
      </c>
      <c r="G73" s="29"/>
      <c r="H73" s="7" t="s">
        <v>114</v>
      </c>
      <c r="I73" s="3"/>
      <c r="J73" s="27"/>
      <c r="K73" s="27"/>
    </row>
    <row r="74" spans="1:11" x14ac:dyDescent="0.25">
      <c r="A74" s="7"/>
      <c r="B74" s="7"/>
      <c r="C74" s="7"/>
      <c r="D74" s="7"/>
      <c r="E74" s="2" t="s">
        <v>21</v>
      </c>
      <c r="F74" s="29" t="s">
        <v>112</v>
      </c>
      <c r="G74" s="29"/>
      <c r="H74" s="7" t="s">
        <v>116</v>
      </c>
      <c r="I74" s="3"/>
      <c r="J74" s="27"/>
      <c r="K74" s="27"/>
    </row>
    <row r="75" spans="1:11" x14ac:dyDescent="0.25">
      <c r="A75" s="7"/>
      <c r="B75" s="7"/>
      <c r="C75" s="7"/>
      <c r="D75" s="7"/>
      <c r="E75" s="2" t="s">
        <v>35</v>
      </c>
      <c r="F75" s="29" t="s">
        <v>42</v>
      </c>
      <c r="G75" s="29"/>
      <c r="H75" s="7" t="s">
        <v>115</v>
      </c>
      <c r="I75" s="3"/>
      <c r="J75" s="27"/>
      <c r="K75" s="27"/>
    </row>
    <row r="76" spans="1:11" x14ac:dyDescent="0.25">
      <c r="A76" s="7"/>
      <c r="B76" s="7"/>
      <c r="C76" s="7"/>
      <c r="D76" s="7"/>
      <c r="E76" s="2" t="s">
        <v>45</v>
      </c>
      <c r="F76" s="29" t="s">
        <v>20</v>
      </c>
      <c r="G76" s="29"/>
      <c r="H76" s="7" t="s">
        <v>117</v>
      </c>
      <c r="I76" s="3"/>
      <c r="J76" s="27"/>
      <c r="K76" s="27"/>
    </row>
    <row r="77" spans="1:11" x14ac:dyDescent="0.25">
      <c r="A77" s="7"/>
      <c r="B77" s="7"/>
      <c r="C77" s="7"/>
      <c r="D77" s="7"/>
      <c r="E77" s="2" t="s">
        <v>111</v>
      </c>
      <c r="F77" s="29" t="s">
        <v>113</v>
      </c>
      <c r="G77" s="29"/>
      <c r="H77" s="29"/>
      <c r="I77" s="29"/>
      <c r="J77" s="7" t="s">
        <v>118</v>
      </c>
      <c r="K77" s="4">
        <f>SUM(I70:I76)</f>
        <v>0</v>
      </c>
    </row>
    <row r="78" spans="1:11" x14ac:dyDescent="0.25">
      <c r="A78" s="7"/>
      <c r="B78" s="7"/>
      <c r="C78" s="7"/>
      <c r="D78" s="9" t="s">
        <v>2</v>
      </c>
      <c r="E78" s="29" t="s">
        <v>119</v>
      </c>
      <c r="F78" s="29"/>
      <c r="G78" s="29"/>
      <c r="H78" s="29"/>
      <c r="I78" s="29"/>
      <c r="J78" s="27"/>
      <c r="K78" s="27"/>
    </row>
    <row r="79" spans="1:11" x14ac:dyDescent="0.25">
      <c r="A79" s="7"/>
      <c r="B79" s="7"/>
      <c r="C79" s="7"/>
      <c r="D79" s="7"/>
      <c r="E79" s="2" t="s">
        <v>0</v>
      </c>
      <c r="F79" s="29" t="s">
        <v>120</v>
      </c>
      <c r="G79" s="29"/>
      <c r="H79" s="7" t="s">
        <v>75</v>
      </c>
      <c r="I79" s="3"/>
      <c r="J79" s="27"/>
      <c r="K79" s="27"/>
    </row>
    <row r="80" spans="1:11" x14ac:dyDescent="0.25">
      <c r="A80" s="7"/>
      <c r="B80" s="7"/>
      <c r="C80" s="7"/>
      <c r="D80" s="7"/>
      <c r="E80" s="2" t="s">
        <v>5</v>
      </c>
      <c r="F80" s="29" t="s">
        <v>20</v>
      </c>
      <c r="G80" s="29"/>
      <c r="H80" s="7" t="s">
        <v>76</v>
      </c>
      <c r="I80" s="3"/>
      <c r="J80" s="27"/>
      <c r="K80" s="27"/>
    </row>
    <row r="81" spans="1:11" x14ac:dyDescent="0.25">
      <c r="A81" s="7"/>
      <c r="B81" s="7"/>
      <c r="C81" s="7"/>
      <c r="D81" s="7"/>
      <c r="E81" s="2" t="s">
        <v>16</v>
      </c>
      <c r="F81" s="29" t="s">
        <v>121</v>
      </c>
      <c r="G81" s="29"/>
      <c r="H81" s="29"/>
      <c r="I81" s="29"/>
      <c r="J81" s="7" t="s">
        <v>77</v>
      </c>
      <c r="K81" s="4">
        <f>SUM(I79:I80)</f>
        <v>0</v>
      </c>
    </row>
    <row r="82" spans="1:11" x14ac:dyDescent="0.25">
      <c r="A82" s="7"/>
      <c r="B82" s="7"/>
      <c r="C82" s="7"/>
      <c r="D82" s="7" t="s">
        <v>3</v>
      </c>
      <c r="E82" s="29" t="s">
        <v>122</v>
      </c>
      <c r="F82" s="29"/>
      <c r="G82" s="29"/>
      <c r="H82" s="29"/>
      <c r="I82" s="29"/>
      <c r="J82" s="27"/>
      <c r="K82" s="27"/>
    </row>
    <row r="83" spans="1:11" x14ac:dyDescent="0.25">
      <c r="A83" s="7"/>
      <c r="B83" s="7"/>
      <c r="C83" s="7"/>
      <c r="D83" s="7"/>
      <c r="E83" s="2" t="s">
        <v>0</v>
      </c>
      <c r="F83" s="29" t="s">
        <v>43</v>
      </c>
      <c r="G83" s="29"/>
      <c r="H83" s="7" t="s">
        <v>125</v>
      </c>
      <c r="I83" s="3"/>
      <c r="J83" s="27"/>
      <c r="K83" s="27"/>
    </row>
    <row r="84" spans="1:11" x14ac:dyDescent="0.25">
      <c r="A84" s="7"/>
      <c r="B84" s="7"/>
      <c r="C84" s="7"/>
      <c r="D84" s="7"/>
      <c r="E84" s="2" t="s">
        <v>5</v>
      </c>
      <c r="F84" s="29" t="s">
        <v>44</v>
      </c>
      <c r="G84" s="29"/>
      <c r="H84" s="7" t="s">
        <v>126</v>
      </c>
      <c r="I84" s="3"/>
      <c r="J84" s="27"/>
      <c r="K84" s="27"/>
    </row>
    <row r="85" spans="1:11" x14ac:dyDescent="0.25">
      <c r="A85" s="7"/>
      <c r="B85" s="7"/>
      <c r="C85" s="7"/>
      <c r="D85" s="7"/>
      <c r="E85" s="2" t="s">
        <v>16</v>
      </c>
      <c r="F85" s="29" t="s">
        <v>20</v>
      </c>
      <c r="G85" s="29"/>
      <c r="H85" s="7" t="s">
        <v>127</v>
      </c>
      <c r="I85" s="3"/>
      <c r="J85" s="27"/>
      <c r="K85" s="27"/>
    </row>
    <row r="86" spans="1:11" x14ac:dyDescent="0.25">
      <c r="A86" s="7"/>
      <c r="B86" s="7"/>
      <c r="C86" s="7"/>
      <c r="D86" s="7"/>
      <c r="E86" s="2" t="s">
        <v>17</v>
      </c>
      <c r="F86" s="29" t="s">
        <v>123</v>
      </c>
      <c r="G86" s="29"/>
      <c r="H86" s="29"/>
      <c r="I86" s="29"/>
      <c r="J86" s="7" t="s">
        <v>124</v>
      </c>
      <c r="K86" s="4">
        <f>SUM(I83:I85)</f>
        <v>0</v>
      </c>
    </row>
    <row r="87" spans="1:11" x14ac:dyDescent="0.25">
      <c r="A87" s="7"/>
      <c r="B87" s="7"/>
      <c r="C87" s="7"/>
      <c r="D87" s="9" t="s">
        <v>4</v>
      </c>
      <c r="E87" s="29" t="s">
        <v>128</v>
      </c>
      <c r="F87" s="29"/>
      <c r="G87" s="29"/>
      <c r="H87" s="29"/>
      <c r="I87" s="29"/>
      <c r="J87" s="7" t="s">
        <v>129</v>
      </c>
      <c r="K87" s="3"/>
    </row>
    <row r="88" spans="1:11" x14ac:dyDescent="0.25">
      <c r="A88" s="7"/>
      <c r="B88" s="7"/>
      <c r="C88" s="7"/>
      <c r="D88" s="9" t="s">
        <v>7</v>
      </c>
      <c r="E88" s="29" t="s">
        <v>130</v>
      </c>
      <c r="F88" s="29"/>
      <c r="G88" s="29"/>
      <c r="H88" s="29"/>
      <c r="I88" s="29"/>
      <c r="J88" s="7" t="s">
        <v>59</v>
      </c>
      <c r="K88" s="4">
        <f>SUM(K77,K81,K86:K87)</f>
        <v>0</v>
      </c>
    </row>
    <row r="89" spans="1:11" x14ac:dyDescent="0.25">
      <c r="A89" s="7"/>
      <c r="B89" s="7"/>
      <c r="C89" s="7" t="s">
        <v>11</v>
      </c>
      <c r="D89" s="28" t="s">
        <v>131</v>
      </c>
      <c r="E89" s="28"/>
      <c r="F89" s="28"/>
      <c r="G89" s="28"/>
      <c r="H89" s="28"/>
      <c r="I89" s="28"/>
      <c r="J89" s="27"/>
      <c r="K89" s="27"/>
    </row>
    <row r="90" spans="1:11" x14ac:dyDescent="0.25">
      <c r="A90" s="7"/>
      <c r="B90" s="7"/>
      <c r="C90" s="7"/>
      <c r="D90" s="7" t="s">
        <v>1</v>
      </c>
      <c r="E90" s="30" t="s">
        <v>132</v>
      </c>
      <c r="F90" s="30"/>
      <c r="G90" s="30"/>
      <c r="H90" s="7" t="s">
        <v>71</v>
      </c>
      <c r="I90" s="3"/>
      <c r="J90" s="27"/>
      <c r="K90" s="27"/>
    </row>
    <row r="91" spans="1:11" x14ac:dyDescent="0.25">
      <c r="A91" s="7"/>
      <c r="B91" s="7"/>
      <c r="C91" s="7"/>
      <c r="D91" s="7" t="s">
        <v>2</v>
      </c>
      <c r="E91" s="30" t="s">
        <v>133</v>
      </c>
      <c r="F91" s="30"/>
      <c r="G91" s="30"/>
      <c r="H91" s="7" t="s">
        <v>47</v>
      </c>
      <c r="I91" s="3"/>
      <c r="J91" s="27"/>
      <c r="K91" s="27"/>
    </row>
    <row r="92" spans="1:11" x14ac:dyDescent="0.25">
      <c r="A92" s="7"/>
      <c r="B92" s="7"/>
      <c r="C92" s="7"/>
      <c r="D92" s="7" t="s">
        <v>3</v>
      </c>
      <c r="E92" s="30" t="s">
        <v>134</v>
      </c>
      <c r="F92" s="30"/>
      <c r="G92" s="30"/>
      <c r="H92" s="7" t="s">
        <v>48</v>
      </c>
      <c r="I92" s="3"/>
      <c r="J92" s="27"/>
      <c r="K92" s="27"/>
    </row>
    <row r="93" spans="1:11" x14ac:dyDescent="0.25">
      <c r="A93" s="7"/>
      <c r="B93" s="7"/>
      <c r="C93" s="7"/>
      <c r="D93" s="7" t="s">
        <v>4</v>
      </c>
      <c r="E93" s="30" t="s">
        <v>135</v>
      </c>
      <c r="F93" s="30"/>
      <c r="G93" s="30"/>
      <c r="H93" s="30"/>
      <c r="I93" s="30"/>
      <c r="J93" s="7" t="s">
        <v>49</v>
      </c>
      <c r="K93" s="4">
        <f>SUM(I90:I92)</f>
        <v>0</v>
      </c>
    </row>
    <row r="94" spans="1:11" x14ac:dyDescent="0.25">
      <c r="A94" s="7"/>
      <c r="B94" s="7"/>
      <c r="C94" s="7"/>
      <c r="D94" s="7" t="s">
        <v>7</v>
      </c>
      <c r="E94" s="30" t="s">
        <v>136</v>
      </c>
      <c r="F94" s="30"/>
      <c r="G94" s="30"/>
      <c r="H94" s="30"/>
      <c r="I94" s="30"/>
      <c r="J94" s="27"/>
      <c r="K94" s="27"/>
    </row>
    <row r="95" spans="1:11" x14ac:dyDescent="0.25">
      <c r="A95" s="7"/>
      <c r="B95" s="7"/>
      <c r="C95" s="7"/>
      <c r="D95" s="7"/>
      <c r="E95" s="1" t="s">
        <v>10</v>
      </c>
      <c r="F95" s="30" t="s">
        <v>33</v>
      </c>
      <c r="G95" s="30"/>
      <c r="H95" s="7" t="s">
        <v>137</v>
      </c>
      <c r="I95" s="3"/>
      <c r="J95" s="27"/>
      <c r="K95" s="27"/>
    </row>
    <row r="96" spans="1:11" x14ac:dyDescent="0.25">
      <c r="A96" s="7"/>
      <c r="B96" s="7"/>
      <c r="C96" s="7"/>
      <c r="D96" s="7"/>
      <c r="E96" s="1" t="s">
        <v>11</v>
      </c>
      <c r="F96" s="30" t="s">
        <v>34</v>
      </c>
      <c r="G96" s="30"/>
      <c r="H96" s="7" t="s">
        <v>138</v>
      </c>
      <c r="I96" s="3"/>
      <c r="J96" s="27"/>
      <c r="K96" s="27"/>
    </row>
    <row r="97" spans="1:11" x14ac:dyDescent="0.25">
      <c r="A97" s="7"/>
      <c r="B97" s="7"/>
      <c r="C97" s="7" t="s">
        <v>12</v>
      </c>
      <c r="D97" s="28" t="s">
        <v>139</v>
      </c>
      <c r="E97" s="28"/>
      <c r="F97" s="28"/>
      <c r="G97" s="28"/>
      <c r="H97" s="28"/>
      <c r="I97" s="28"/>
      <c r="J97" s="7" t="s">
        <v>140</v>
      </c>
      <c r="K97" s="4">
        <f>SUM(K88,K93)</f>
        <v>0</v>
      </c>
    </row>
    <row r="98" spans="1:11" x14ac:dyDescent="0.25">
      <c r="A98" s="7"/>
      <c r="B98" s="7"/>
      <c r="C98" s="7" t="s">
        <v>23</v>
      </c>
      <c r="D98" s="30" t="s">
        <v>141</v>
      </c>
      <c r="E98" s="30"/>
      <c r="F98" s="30"/>
      <c r="G98" s="30"/>
      <c r="H98" s="30"/>
      <c r="I98" s="30"/>
      <c r="J98" s="27"/>
      <c r="K98" s="27"/>
    </row>
    <row r="99" spans="1:11" x14ac:dyDescent="0.25">
      <c r="A99" s="7"/>
      <c r="B99" s="7"/>
      <c r="C99" s="7"/>
      <c r="D99" s="7" t="s">
        <v>1</v>
      </c>
      <c r="E99" s="30" t="s">
        <v>22</v>
      </c>
      <c r="F99" s="30"/>
      <c r="G99" s="30"/>
      <c r="H99" s="30"/>
      <c r="I99" s="30"/>
      <c r="J99" s="27"/>
      <c r="K99" s="27"/>
    </row>
    <row r="100" spans="1:11" x14ac:dyDescent="0.25">
      <c r="A100" s="7"/>
      <c r="B100" s="7"/>
      <c r="C100" s="7"/>
      <c r="D100" s="7"/>
      <c r="E100" s="1" t="s">
        <v>0</v>
      </c>
      <c r="F100" s="30" t="s">
        <v>142</v>
      </c>
      <c r="G100" s="30"/>
      <c r="H100" s="30"/>
      <c r="I100" s="30"/>
      <c r="J100" s="27"/>
      <c r="K100" s="27"/>
    </row>
    <row r="101" spans="1:11" x14ac:dyDescent="0.25">
      <c r="A101" s="7"/>
      <c r="B101" s="7"/>
      <c r="C101" s="7"/>
      <c r="D101" s="7"/>
      <c r="E101" s="1"/>
      <c r="F101" s="6">
        <v>1</v>
      </c>
      <c r="G101" s="6" t="s">
        <v>120</v>
      </c>
      <c r="H101" s="7">
        <v>1</v>
      </c>
      <c r="I101" s="3"/>
      <c r="J101" s="27"/>
      <c r="K101" s="27"/>
    </row>
    <row r="102" spans="1:11" x14ac:dyDescent="0.25">
      <c r="A102" s="7"/>
      <c r="B102" s="7"/>
      <c r="C102" s="7"/>
      <c r="D102" s="7"/>
      <c r="E102" s="1"/>
      <c r="F102" s="6">
        <v>2</v>
      </c>
      <c r="G102" s="6" t="s">
        <v>20</v>
      </c>
      <c r="H102" s="7">
        <v>2</v>
      </c>
      <c r="I102" s="3"/>
      <c r="J102" s="27"/>
      <c r="K102" s="27"/>
    </row>
    <row r="103" spans="1:11" x14ac:dyDescent="0.25">
      <c r="A103" s="7"/>
      <c r="B103" s="7"/>
      <c r="C103" s="7"/>
      <c r="D103" s="7"/>
      <c r="E103" s="1"/>
      <c r="F103" s="6">
        <v>3</v>
      </c>
      <c r="G103" s="1" t="s">
        <v>143</v>
      </c>
      <c r="H103" s="7" t="s">
        <v>144</v>
      </c>
      <c r="I103" s="4">
        <f>SUM(I101:I102)</f>
        <v>0</v>
      </c>
      <c r="J103" s="27"/>
      <c r="K103" s="27"/>
    </row>
    <row r="104" spans="1:11" x14ac:dyDescent="0.25">
      <c r="A104" s="7"/>
      <c r="B104" s="7"/>
      <c r="C104" s="7"/>
      <c r="D104" s="7"/>
      <c r="E104" s="6" t="s">
        <v>5</v>
      </c>
      <c r="F104" s="29" t="s">
        <v>145</v>
      </c>
      <c r="G104" s="29"/>
      <c r="H104" s="7" t="s">
        <v>106</v>
      </c>
      <c r="I104" s="3"/>
      <c r="J104" s="27"/>
      <c r="K104" s="27"/>
    </row>
    <row r="105" spans="1:11" x14ac:dyDescent="0.25">
      <c r="A105" s="7"/>
      <c r="B105" s="7"/>
      <c r="C105" s="7"/>
      <c r="D105" s="7"/>
      <c r="E105" s="6" t="s">
        <v>16</v>
      </c>
      <c r="F105" s="29" t="s">
        <v>146</v>
      </c>
      <c r="G105" s="29"/>
      <c r="H105" s="7" t="s">
        <v>107</v>
      </c>
      <c r="I105" s="3"/>
      <c r="J105" s="27"/>
      <c r="K105" s="27"/>
    </row>
    <row r="106" spans="1:11" x14ac:dyDescent="0.25">
      <c r="A106" s="7"/>
      <c r="B106" s="7"/>
      <c r="C106" s="7"/>
      <c r="D106" s="7"/>
      <c r="E106" s="6" t="s">
        <v>17</v>
      </c>
      <c r="F106" s="29" t="s">
        <v>147</v>
      </c>
      <c r="G106" s="29"/>
      <c r="H106" s="7" t="s">
        <v>114</v>
      </c>
      <c r="I106" s="3"/>
      <c r="J106" s="27"/>
      <c r="K106" s="27"/>
    </row>
    <row r="107" spans="1:11" x14ac:dyDescent="0.25">
      <c r="A107" s="7"/>
      <c r="B107" s="7"/>
      <c r="C107" s="7"/>
      <c r="D107" s="7"/>
      <c r="E107" s="6" t="s">
        <v>21</v>
      </c>
      <c r="F107" s="29" t="s">
        <v>25</v>
      </c>
      <c r="G107" s="29"/>
      <c r="H107" s="7" t="s">
        <v>116</v>
      </c>
      <c r="I107" s="3"/>
      <c r="J107" s="27"/>
      <c r="K107" s="27"/>
    </row>
    <row r="108" spans="1:11" x14ac:dyDescent="0.25">
      <c r="A108" s="7"/>
      <c r="B108" s="7"/>
      <c r="C108" s="7"/>
      <c r="D108" s="7"/>
      <c r="E108" s="6" t="s">
        <v>35</v>
      </c>
      <c r="F108" s="29" t="s">
        <v>26</v>
      </c>
      <c r="G108" s="29"/>
      <c r="H108" s="7" t="s">
        <v>115</v>
      </c>
      <c r="I108" s="3"/>
      <c r="J108" s="27"/>
      <c r="K108" s="27"/>
    </row>
    <row r="109" spans="1:11" x14ac:dyDescent="0.25">
      <c r="A109" s="7"/>
      <c r="B109" s="7"/>
      <c r="C109" s="7"/>
      <c r="D109" s="9"/>
      <c r="E109" s="6" t="s">
        <v>45</v>
      </c>
      <c r="F109" s="29" t="s">
        <v>148</v>
      </c>
      <c r="G109" s="29"/>
      <c r="H109" s="29"/>
      <c r="I109" s="29"/>
      <c r="J109" s="7" t="s">
        <v>117</v>
      </c>
      <c r="K109" s="4">
        <f>SUM(I103:I108)</f>
        <v>0</v>
      </c>
    </row>
    <row r="110" spans="1:11" x14ac:dyDescent="0.25">
      <c r="A110" s="7"/>
      <c r="B110" s="7"/>
      <c r="C110" s="7"/>
      <c r="D110" s="7" t="s">
        <v>2</v>
      </c>
      <c r="E110" s="30" t="s">
        <v>149</v>
      </c>
      <c r="F110" s="30"/>
      <c r="G110" s="30"/>
      <c r="H110" s="30"/>
      <c r="I110" s="30"/>
      <c r="J110" s="27"/>
      <c r="K110" s="27"/>
    </row>
    <row r="111" spans="1:11" x14ac:dyDescent="0.25">
      <c r="A111" s="7"/>
      <c r="B111" s="7"/>
      <c r="C111" s="7"/>
      <c r="D111" s="7"/>
      <c r="E111" s="2" t="s">
        <v>0</v>
      </c>
      <c r="F111" s="30" t="s">
        <v>150</v>
      </c>
      <c r="G111" s="30"/>
      <c r="H111" s="7" t="s">
        <v>75</v>
      </c>
      <c r="I111" s="3"/>
      <c r="J111" s="27"/>
      <c r="K111" s="27"/>
    </row>
    <row r="112" spans="1:11" x14ac:dyDescent="0.25">
      <c r="A112" s="7"/>
      <c r="B112" s="7"/>
      <c r="C112" s="7"/>
      <c r="D112" s="7"/>
      <c r="E112" s="2" t="s">
        <v>5</v>
      </c>
      <c r="F112" s="30" t="s">
        <v>151</v>
      </c>
      <c r="G112" s="30"/>
      <c r="H112" s="7" t="s">
        <v>76</v>
      </c>
      <c r="I112" s="3"/>
      <c r="J112" s="27"/>
      <c r="K112" s="27"/>
    </row>
    <row r="113" spans="1:11" x14ac:dyDescent="0.25">
      <c r="A113" s="7"/>
      <c r="B113" s="7"/>
      <c r="C113" s="7"/>
      <c r="D113" s="7"/>
      <c r="E113" s="2" t="s">
        <v>16</v>
      </c>
      <c r="F113" s="30" t="s">
        <v>152</v>
      </c>
      <c r="G113" s="30"/>
      <c r="H113" s="7" t="s">
        <v>77</v>
      </c>
      <c r="I113" s="3"/>
      <c r="J113" s="27"/>
      <c r="K113" s="27"/>
    </row>
    <row r="114" spans="1:11" x14ac:dyDescent="0.25">
      <c r="A114" s="7"/>
      <c r="B114" s="7"/>
      <c r="C114" s="7"/>
      <c r="D114" s="7"/>
      <c r="E114" s="2" t="s">
        <v>17</v>
      </c>
      <c r="F114" s="30" t="s">
        <v>153</v>
      </c>
      <c r="G114" s="30"/>
      <c r="H114" s="30"/>
      <c r="I114" s="30"/>
      <c r="J114" s="7" t="s">
        <v>78</v>
      </c>
      <c r="K114" s="4">
        <f>SUM(I111:I113)</f>
        <v>0</v>
      </c>
    </row>
    <row r="115" spans="1:11" x14ac:dyDescent="0.25">
      <c r="A115" s="7"/>
      <c r="B115" s="7"/>
      <c r="C115" s="7"/>
      <c r="D115" s="7" t="s">
        <v>3</v>
      </c>
      <c r="E115" s="30" t="s">
        <v>155</v>
      </c>
      <c r="F115" s="30"/>
      <c r="G115" s="30"/>
      <c r="H115" s="30"/>
      <c r="I115" s="30"/>
      <c r="J115" s="7" t="s">
        <v>154</v>
      </c>
      <c r="K115" s="4">
        <f>SUM(K109,K114)</f>
        <v>0</v>
      </c>
    </row>
    <row r="116" spans="1:11" x14ac:dyDescent="0.25">
      <c r="A116" s="7"/>
      <c r="B116" s="7"/>
      <c r="C116" s="7" t="s">
        <v>24</v>
      </c>
      <c r="D116" s="30" t="s">
        <v>156</v>
      </c>
      <c r="E116" s="30"/>
      <c r="F116" s="30"/>
      <c r="G116" s="30"/>
      <c r="H116" s="30"/>
      <c r="I116" s="30"/>
      <c r="J116" s="7" t="s">
        <v>157</v>
      </c>
      <c r="K116" s="4">
        <f>K97-K115</f>
        <v>0</v>
      </c>
    </row>
    <row r="117" spans="1:11" x14ac:dyDescent="0.25">
      <c r="A117" s="7"/>
      <c r="B117" s="7">
        <v>4</v>
      </c>
      <c r="C117" s="7" t="s">
        <v>10</v>
      </c>
      <c r="D117" s="28" t="s">
        <v>158</v>
      </c>
      <c r="E117" s="28"/>
      <c r="F117" s="28"/>
      <c r="G117" s="28"/>
      <c r="H117" s="7" t="s">
        <v>159</v>
      </c>
      <c r="I117" s="3"/>
      <c r="J117" s="27"/>
      <c r="K117" s="27"/>
    </row>
    <row r="118" spans="1:11" x14ac:dyDescent="0.25">
      <c r="A118" s="7"/>
      <c r="B118" s="7"/>
      <c r="C118" s="7" t="s">
        <v>11</v>
      </c>
      <c r="D118" s="28" t="s">
        <v>160</v>
      </c>
      <c r="E118" s="28"/>
      <c r="F118" s="28"/>
      <c r="G118" s="28"/>
      <c r="H118" s="7" t="s">
        <v>161</v>
      </c>
      <c r="I118" s="3"/>
      <c r="J118" s="27"/>
      <c r="K118" s="27"/>
    </row>
    <row r="119" spans="1:11" x14ac:dyDescent="0.25">
      <c r="A119" s="7"/>
      <c r="B119" s="7"/>
      <c r="C119" s="7" t="s">
        <v>12</v>
      </c>
      <c r="D119" s="28" t="s">
        <v>162</v>
      </c>
      <c r="E119" s="28"/>
      <c r="F119" s="28"/>
      <c r="G119" s="28"/>
      <c r="H119" s="7" t="s">
        <v>163</v>
      </c>
      <c r="I119" s="3"/>
      <c r="J119" s="27"/>
      <c r="K119" s="27"/>
    </row>
    <row r="120" spans="1:11" x14ac:dyDescent="0.25">
      <c r="A120" s="7"/>
      <c r="B120" s="7"/>
      <c r="C120" s="7" t="s">
        <v>23</v>
      </c>
      <c r="D120" s="30" t="s">
        <v>164</v>
      </c>
      <c r="E120" s="30"/>
      <c r="F120" s="30"/>
      <c r="G120" s="30"/>
      <c r="H120" s="30"/>
      <c r="I120" s="30"/>
      <c r="J120" s="7" t="s">
        <v>165</v>
      </c>
      <c r="K120" s="4">
        <f>SUM(I117:I119)</f>
        <v>0</v>
      </c>
    </row>
    <row r="121" spans="1:11" x14ac:dyDescent="0.25">
      <c r="A121" s="7"/>
      <c r="B121" s="9">
        <v>5</v>
      </c>
      <c r="C121" s="29" t="s">
        <v>166</v>
      </c>
      <c r="D121" s="29"/>
      <c r="E121" s="29"/>
      <c r="F121" s="29"/>
      <c r="G121" s="29"/>
      <c r="H121" s="29"/>
      <c r="I121" s="29"/>
      <c r="J121" s="7">
        <v>5</v>
      </c>
      <c r="K121" s="4">
        <f>SUM(K41,K66,K116,K120)</f>
        <v>0</v>
      </c>
    </row>
  </sheetData>
  <sheetProtection sheet="1" objects="1" scenarios="1"/>
  <mergeCells count="212">
    <mergeCell ref="J117:K117"/>
    <mergeCell ref="J79:K79"/>
    <mergeCell ref="J80:K80"/>
    <mergeCell ref="J82:K82"/>
    <mergeCell ref="J83:K83"/>
    <mergeCell ref="J73:K73"/>
    <mergeCell ref="J74:K74"/>
    <mergeCell ref="J75:K75"/>
    <mergeCell ref="J76:K76"/>
    <mergeCell ref="J78:K78"/>
    <mergeCell ref="J107:K107"/>
    <mergeCell ref="J108:K108"/>
    <mergeCell ref="J110:K110"/>
    <mergeCell ref="J111:K111"/>
    <mergeCell ref="J112:K112"/>
    <mergeCell ref="J113:K113"/>
    <mergeCell ref="J84:K84"/>
    <mergeCell ref="J85:K85"/>
    <mergeCell ref="J102:K102"/>
    <mergeCell ref="J103:K103"/>
    <mergeCell ref="J104:K104"/>
    <mergeCell ref="J98:K98"/>
    <mergeCell ref="J99:K99"/>
    <mergeCell ref="J100:K100"/>
    <mergeCell ref="J101:K101"/>
    <mergeCell ref="J105:K105"/>
    <mergeCell ref="J106:K106"/>
    <mergeCell ref="J91:K91"/>
    <mergeCell ref="J92:K92"/>
    <mergeCell ref="J94:K94"/>
    <mergeCell ref="J95:K95"/>
    <mergeCell ref="J96:K96"/>
    <mergeCell ref="J53:K53"/>
    <mergeCell ref="J68:K68"/>
    <mergeCell ref="J89:K89"/>
    <mergeCell ref="J90:K90"/>
    <mergeCell ref="J67:K67"/>
    <mergeCell ref="J69:K69"/>
    <mergeCell ref="J62:K62"/>
    <mergeCell ref="J63:K63"/>
    <mergeCell ref="J64:K64"/>
    <mergeCell ref="J57:K57"/>
    <mergeCell ref="J58:K58"/>
    <mergeCell ref="J59:K59"/>
    <mergeCell ref="J60:K60"/>
    <mergeCell ref="J61:K61"/>
    <mergeCell ref="J56:K56"/>
    <mergeCell ref="J55:K55"/>
    <mergeCell ref="J70:K70"/>
    <mergeCell ref="J71:K71"/>
    <mergeCell ref="J72:K72"/>
    <mergeCell ref="J51:K51"/>
    <mergeCell ref="J52:K52"/>
    <mergeCell ref="J42:K42"/>
    <mergeCell ref="J44:K44"/>
    <mergeCell ref="J45:K45"/>
    <mergeCell ref="J46:K46"/>
    <mergeCell ref="J47:K47"/>
    <mergeCell ref="J48:K48"/>
    <mergeCell ref="J49:K49"/>
    <mergeCell ref="J50:K50"/>
    <mergeCell ref="J24:K24"/>
    <mergeCell ref="J26:K26"/>
    <mergeCell ref="J30:K30"/>
    <mergeCell ref="J31:K31"/>
    <mergeCell ref="J32:K32"/>
    <mergeCell ref="J25:K25"/>
    <mergeCell ref="J43:K43"/>
    <mergeCell ref="J35:K35"/>
    <mergeCell ref="J36:K36"/>
    <mergeCell ref="J37:K37"/>
    <mergeCell ref="J38:K38"/>
    <mergeCell ref="J40:K40"/>
    <mergeCell ref="J39:K39"/>
    <mergeCell ref="J5:K5"/>
    <mergeCell ref="J6:K6"/>
    <mergeCell ref="J7:K7"/>
    <mergeCell ref="J8:K8"/>
    <mergeCell ref="J9:K9"/>
    <mergeCell ref="J12:K12"/>
    <mergeCell ref="J13:K13"/>
    <mergeCell ref="J15:K15"/>
    <mergeCell ref="J16:K16"/>
    <mergeCell ref="F113:G113"/>
    <mergeCell ref="F114:I114"/>
    <mergeCell ref="E115:I115"/>
    <mergeCell ref="D117:G117"/>
    <mergeCell ref="D118:G118"/>
    <mergeCell ref="E88:I88"/>
    <mergeCell ref="D89:I89"/>
    <mergeCell ref="E87:I87"/>
    <mergeCell ref="D116:I116"/>
    <mergeCell ref="F95:G95"/>
    <mergeCell ref="F96:G96"/>
    <mergeCell ref="D98:I98"/>
    <mergeCell ref="D97:I97"/>
    <mergeCell ref="F100:I100"/>
    <mergeCell ref="E110:I110"/>
    <mergeCell ref="F111:G111"/>
    <mergeCell ref="F112:G112"/>
    <mergeCell ref="F104:G104"/>
    <mergeCell ref="F105:G105"/>
    <mergeCell ref="F106:G106"/>
    <mergeCell ref="F107:G107"/>
    <mergeCell ref="F108:G108"/>
    <mergeCell ref="F109:I109"/>
    <mergeCell ref="E90:G90"/>
    <mergeCell ref="E91:G91"/>
    <mergeCell ref="E92:G92"/>
    <mergeCell ref="E93:I93"/>
    <mergeCell ref="E53:G53"/>
    <mergeCell ref="E54:I54"/>
    <mergeCell ref="D120:I120"/>
    <mergeCell ref="D68:I68"/>
    <mergeCell ref="F73:G73"/>
    <mergeCell ref="F74:G74"/>
    <mergeCell ref="F75:G75"/>
    <mergeCell ref="F76:G76"/>
    <mergeCell ref="F77:I77"/>
    <mergeCell ref="E78:I78"/>
    <mergeCell ref="F79:G79"/>
    <mergeCell ref="F80:G80"/>
    <mergeCell ref="F81:I81"/>
    <mergeCell ref="E82:I82"/>
    <mergeCell ref="F83:G83"/>
    <mergeCell ref="F84:G84"/>
    <mergeCell ref="F85:G85"/>
    <mergeCell ref="F86:I86"/>
    <mergeCell ref="E99:I99"/>
    <mergeCell ref="E94:I94"/>
    <mergeCell ref="F72:G72"/>
    <mergeCell ref="E62:G62"/>
    <mergeCell ref="E63:G63"/>
    <mergeCell ref="E64:G64"/>
    <mergeCell ref="E65:I65"/>
    <mergeCell ref="D66:I66"/>
    <mergeCell ref="C67:I67"/>
    <mergeCell ref="E69:I69"/>
    <mergeCell ref="F70:G70"/>
    <mergeCell ref="F71:G71"/>
    <mergeCell ref="E60:G60"/>
    <mergeCell ref="E61:G61"/>
    <mergeCell ref="D55:I55"/>
    <mergeCell ref="E56:I56"/>
    <mergeCell ref="F57:G57"/>
    <mergeCell ref="F58:G58"/>
    <mergeCell ref="F59:G59"/>
    <mergeCell ref="C12:I12"/>
    <mergeCell ref="D13:I13"/>
    <mergeCell ref="C36:I36"/>
    <mergeCell ref="B35:I35"/>
    <mergeCell ref="F48:G48"/>
    <mergeCell ref="E49:G49"/>
    <mergeCell ref="E50:G50"/>
    <mergeCell ref="E51:G51"/>
    <mergeCell ref="E52:G52"/>
    <mergeCell ref="E44:G44"/>
    <mergeCell ref="E45:I45"/>
    <mergeCell ref="F46:G46"/>
    <mergeCell ref="F47:G47"/>
    <mergeCell ref="D39:G39"/>
    <mergeCell ref="D41:I41"/>
    <mergeCell ref="C42:I42"/>
    <mergeCell ref="D43:I43"/>
    <mergeCell ref="D11:I11"/>
    <mergeCell ref="E14:G14"/>
    <mergeCell ref="E15:I15"/>
    <mergeCell ref="F17:G17"/>
    <mergeCell ref="F16:G16"/>
    <mergeCell ref="F25:G25"/>
    <mergeCell ref="F26:G26"/>
    <mergeCell ref="B1:K1"/>
    <mergeCell ref="J2:K2"/>
    <mergeCell ref="C2:I2"/>
    <mergeCell ref="D3:I3"/>
    <mergeCell ref="E9:G9"/>
    <mergeCell ref="E10:I10"/>
    <mergeCell ref="D4:I4"/>
    <mergeCell ref="E5:G5"/>
    <mergeCell ref="E6:G6"/>
    <mergeCell ref="E7:G7"/>
    <mergeCell ref="E8:G8"/>
    <mergeCell ref="J4:K4"/>
    <mergeCell ref="J14:K14"/>
    <mergeCell ref="J20:K20"/>
    <mergeCell ref="J21:K21"/>
    <mergeCell ref="J22:K22"/>
    <mergeCell ref="J23:K23"/>
    <mergeCell ref="J118:K118"/>
    <mergeCell ref="D119:G119"/>
    <mergeCell ref="J119:K119"/>
    <mergeCell ref="C121:I121"/>
    <mergeCell ref="J17:K17"/>
    <mergeCell ref="F18:G18"/>
    <mergeCell ref="J18:K18"/>
    <mergeCell ref="E19:I19"/>
    <mergeCell ref="D20:I20"/>
    <mergeCell ref="E21:G21"/>
    <mergeCell ref="E22:I22"/>
    <mergeCell ref="F23:G23"/>
    <mergeCell ref="F24:G24"/>
    <mergeCell ref="E27:I27"/>
    <mergeCell ref="D28:I28"/>
    <mergeCell ref="C29:I29"/>
    <mergeCell ref="C30:I30"/>
    <mergeCell ref="D31:G31"/>
    <mergeCell ref="D32:G32"/>
    <mergeCell ref="D33:I33"/>
    <mergeCell ref="C34:I34"/>
    <mergeCell ref="D37:G37"/>
    <mergeCell ref="D38:G38"/>
    <mergeCell ref="D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I2" sqref="I2"/>
    </sheetView>
  </sheetViews>
  <sheetFormatPr defaultRowHeight="15" x14ac:dyDescent="0.25"/>
  <cols>
    <col min="1" max="1" width="5.42578125" style="8" customWidth="1"/>
    <col min="2" max="2" width="6.140625" style="8" customWidth="1"/>
    <col min="3" max="3" width="4.42578125" style="8" customWidth="1"/>
    <col min="4" max="4" width="4.28515625" customWidth="1"/>
    <col min="5" max="5" width="4.140625" customWidth="1"/>
    <col min="6" max="6" width="6" customWidth="1"/>
    <col min="7" max="7" width="57.5703125" customWidth="1"/>
    <col min="8" max="8" width="5.7109375" style="8" customWidth="1"/>
    <col min="9" max="9" width="21.42578125" customWidth="1"/>
    <col min="10" max="10" width="6.28515625" style="8" customWidth="1"/>
    <col min="11" max="11" width="20.140625" customWidth="1"/>
  </cols>
  <sheetData>
    <row r="1" spans="1:11" x14ac:dyDescent="0.25">
      <c r="A1" s="10" t="s">
        <v>169</v>
      </c>
      <c r="B1" s="35" t="s">
        <v>170</v>
      </c>
      <c r="C1" s="36"/>
      <c r="D1" s="36"/>
      <c r="E1" s="36"/>
      <c r="F1" s="36"/>
      <c r="G1" s="36"/>
      <c r="H1" s="36"/>
      <c r="I1" s="37"/>
      <c r="J1" s="27"/>
      <c r="K1" s="27"/>
    </row>
    <row r="2" spans="1:11" x14ac:dyDescent="0.25">
      <c r="A2" s="7"/>
      <c r="B2" s="7" t="s">
        <v>0</v>
      </c>
      <c r="C2" s="7" t="s">
        <v>1</v>
      </c>
      <c r="D2" s="30" t="s">
        <v>171</v>
      </c>
      <c r="E2" s="30"/>
      <c r="F2" s="30"/>
      <c r="G2" s="30"/>
      <c r="H2" s="7" t="s">
        <v>1</v>
      </c>
      <c r="I2" s="3"/>
      <c r="J2" s="27"/>
      <c r="K2" s="27"/>
    </row>
    <row r="3" spans="1:11" x14ac:dyDescent="0.25">
      <c r="A3" s="7"/>
      <c r="B3" s="7"/>
      <c r="C3" s="9" t="s">
        <v>2</v>
      </c>
      <c r="D3" s="30" t="s">
        <v>172</v>
      </c>
      <c r="E3" s="30"/>
      <c r="F3" s="30"/>
      <c r="G3" s="30"/>
      <c r="H3" s="7" t="s">
        <v>2</v>
      </c>
      <c r="I3" s="3"/>
      <c r="J3" s="27"/>
      <c r="K3" s="27"/>
    </row>
    <row r="4" spans="1:11" x14ac:dyDescent="0.25">
      <c r="A4" s="7"/>
      <c r="B4" s="7"/>
      <c r="C4" s="7" t="s">
        <v>3</v>
      </c>
      <c r="D4" s="30" t="s">
        <v>173</v>
      </c>
      <c r="E4" s="30"/>
      <c r="F4" s="30"/>
      <c r="G4" s="30"/>
      <c r="H4" s="30"/>
      <c r="I4" s="30"/>
      <c r="J4" s="7" t="s">
        <v>174</v>
      </c>
      <c r="K4" s="4">
        <f>SUM(I2:I3)</f>
        <v>0</v>
      </c>
    </row>
    <row r="5" spans="1:11" x14ac:dyDescent="0.25">
      <c r="A5" s="7"/>
      <c r="B5" s="7" t="s">
        <v>5</v>
      </c>
      <c r="C5" s="28" t="s">
        <v>175</v>
      </c>
      <c r="D5" s="28"/>
      <c r="E5" s="28"/>
      <c r="F5" s="28"/>
      <c r="G5" s="28"/>
      <c r="H5" s="28"/>
      <c r="I5" s="28"/>
      <c r="J5" s="7" t="s">
        <v>5</v>
      </c>
      <c r="K5" s="3"/>
    </row>
    <row r="6" spans="1:11" x14ac:dyDescent="0.25">
      <c r="A6" s="7"/>
      <c r="B6" s="7" t="s">
        <v>16</v>
      </c>
      <c r="C6" s="28" t="s">
        <v>176</v>
      </c>
      <c r="D6" s="28"/>
      <c r="E6" s="28"/>
      <c r="F6" s="28"/>
      <c r="G6" s="28"/>
      <c r="H6" s="28"/>
      <c r="I6" s="28"/>
      <c r="J6" s="7" t="s">
        <v>16</v>
      </c>
      <c r="K6" s="3"/>
    </row>
    <row r="7" spans="1:11" x14ac:dyDescent="0.25">
      <c r="A7" s="7"/>
      <c r="B7" s="7" t="s">
        <v>17</v>
      </c>
      <c r="C7" s="28" t="s">
        <v>177</v>
      </c>
      <c r="D7" s="28"/>
      <c r="E7" s="28"/>
      <c r="F7" s="28"/>
      <c r="G7" s="28"/>
      <c r="H7" s="28"/>
      <c r="I7" s="28"/>
      <c r="J7" s="7" t="s">
        <v>17</v>
      </c>
      <c r="K7" s="4">
        <f>SUM(I8:I10)</f>
        <v>0</v>
      </c>
    </row>
    <row r="8" spans="1:11" x14ac:dyDescent="0.25">
      <c r="A8" s="7"/>
      <c r="B8" s="7"/>
      <c r="C8" s="7" t="s">
        <v>1</v>
      </c>
      <c r="D8" s="30" t="s">
        <v>178</v>
      </c>
      <c r="E8" s="30"/>
      <c r="F8" s="30"/>
      <c r="G8" s="30"/>
      <c r="H8" s="7" t="s">
        <v>1</v>
      </c>
      <c r="I8" s="3"/>
      <c r="J8" s="27"/>
      <c r="K8" s="27"/>
    </row>
    <row r="9" spans="1:11" x14ac:dyDescent="0.25">
      <c r="A9" s="7"/>
      <c r="B9" s="7"/>
      <c r="C9" s="7" t="s">
        <v>2</v>
      </c>
      <c r="D9" s="30" t="s">
        <v>179</v>
      </c>
      <c r="E9" s="30"/>
      <c r="F9" s="30"/>
      <c r="G9" s="30"/>
      <c r="H9" s="7" t="s">
        <v>2</v>
      </c>
      <c r="I9" s="3"/>
      <c r="J9" s="27"/>
      <c r="K9" s="27"/>
    </row>
    <row r="10" spans="1:11" x14ac:dyDescent="0.25">
      <c r="A10" s="7"/>
      <c r="B10" s="7"/>
      <c r="C10" s="7" t="s">
        <v>3</v>
      </c>
      <c r="D10" s="30" t="s">
        <v>180</v>
      </c>
      <c r="E10" s="30"/>
      <c r="F10" s="30"/>
      <c r="G10" s="30"/>
      <c r="H10" s="7" t="s">
        <v>3</v>
      </c>
      <c r="I10" s="3"/>
      <c r="J10" s="27"/>
      <c r="K10" s="27"/>
    </row>
    <row r="11" spans="1:11" x14ac:dyDescent="0.25">
      <c r="A11" s="7"/>
      <c r="B11" s="7" t="s">
        <v>21</v>
      </c>
      <c r="C11" s="28" t="s">
        <v>181</v>
      </c>
      <c r="D11" s="28"/>
      <c r="E11" s="28"/>
      <c r="F11" s="28"/>
      <c r="G11" s="28"/>
      <c r="H11" s="28"/>
      <c r="I11" s="28"/>
      <c r="J11" s="27"/>
      <c r="K11" s="27"/>
    </row>
    <row r="12" spans="1:11" x14ac:dyDescent="0.25">
      <c r="A12" s="7"/>
      <c r="B12" s="7"/>
      <c r="C12" s="7" t="s">
        <v>1</v>
      </c>
      <c r="D12" s="30" t="s">
        <v>182</v>
      </c>
      <c r="E12" s="30"/>
      <c r="F12" s="30"/>
      <c r="G12" s="30"/>
      <c r="H12" s="7" t="s">
        <v>1</v>
      </c>
      <c r="I12" s="3"/>
      <c r="J12" s="27"/>
      <c r="K12" s="27"/>
    </row>
    <row r="13" spans="1:11" x14ac:dyDescent="0.25">
      <c r="A13" s="7"/>
      <c r="B13" s="7"/>
      <c r="C13" s="7" t="s">
        <v>2</v>
      </c>
      <c r="D13" s="30" t="s">
        <v>183</v>
      </c>
      <c r="E13" s="30"/>
      <c r="F13" s="30"/>
      <c r="G13" s="30"/>
      <c r="H13" s="7" t="s">
        <v>2</v>
      </c>
      <c r="I13" s="3"/>
      <c r="J13" s="27"/>
      <c r="K13" s="27"/>
    </row>
    <row r="14" spans="1:11" x14ac:dyDescent="0.25">
      <c r="A14" s="7"/>
      <c r="B14" s="7"/>
      <c r="C14" s="7" t="s">
        <v>3</v>
      </c>
      <c r="D14" s="28" t="s">
        <v>184</v>
      </c>
      <c r="E14" s="28"/>
      <c r="F14" s="28"/>
      <c r="G14" s="28"/>
      <c r="H14" s="7" t="s">
        <v>3</v>
      </c>
      <c r="I14" s="3"/>
      <c r="J14" s="27"/>
      <c r="K14" s="27"/>
    </row>
    <row r="15" spans="1:11" x14ac:dyDescent="0.25">
      <c r="A15" s="7"/>
      <c r="B15" s="7"/>
      <c r="C15" s="7" t="s">
        <v>4</v>
      </c>
      <c r="D15" s="28" t="s">
        <v>185</v>
      </c>
      <c r="E15" s="28"/>
      <c r="F15" s="28"/>
      <c r="G15" s="28"/>
      <c r="H15" s="7" t="s">
        <v>4</v>
      </c>
      <c r="I15" s="3"/>
      <c r="J15" s="27"/>
      <c r="K15" s="27"/>
    </row>
    <row r="16" spans="1:11" x14ac:dyDescent="0.25">
      <c r="A16" s="7"/>
      <c r="B16" s="7"/>
      <c r="C16" s="7" t="s">
        <v>7</v>
      </c>
      <c r="D16" s="28" t="s">
        <v>186</v>
      </c>
      <c r="E16" s="28"/>
      <c r="F16" s="28"/>
      <c r="G16" s="28"/>
      <c r="H16" s="7" t="s">
        <v>7</v>
      </c>
      <c r="I16" s="3"/>
      <c r="J16" s="27"/>
      <c r="K16" s="27"/>
    </row>
    <row r="17" spans="1:12" x14ac:dyDescent="0.25">
      <c r="A17" s="7"/>
      <c r="B17" s="7"/>
      <c r="C17" s="7" t="s">
        <v>8</v>
      </c>
      <c r="D17" s="28" t="s">
        <v>187</v>
      </c>
      <c r="E17" s="28"/>
      <c r="F17" s="28"/>
      <c r="G17" s="28"/>
      <c r="H17" s="7" t="s">
        <v>8</v>
      </c>
      <c r="I17" s="3"/>
      <c r="J17" s="27"/>
      <c r="K17" s="27"/>
      <c r="L17" s="5"/>
    </row>
    <row r="18" spans="1:12" x14ac:dyDescent="0.25">
      <c r="A18" s="7"/>
      <c r="B18" s="7"/>
      <c r="C18" s="29" t="s">
        <v>188</v>
      </c>
      <c r="D18" s="29"/>
      <c r="E18" s="29"/>
      <c r="F18" s="29"/>
      <c r="G18" s="29"/>
      <c r="H18" s="29"/>
      <c r="I18" s="29"/>
      <c r="J18" s="7" t="s">
        <v>189</v>
      </c>
      <c r="K18" s="4">
        <f>SUM(I12:I17)</f>
        <v>0</v>
      </c>
    </row>
    <row r="19" spans="1:12" x14ac:dyDescent="0.25">
      <c r="A19" s="7"/>
      <c r="B19" s="7" t="s">
        <v>35</v>
      </c>
      <c r="C19" s="28" t="s">
        <v>190</v>
      </c>
      <c r="D19" s="28"/>
      <c r="E19" s="28"/>
      <c r="F19" s="28"/>
      <c r="G19" s="28"/>
      <c r="H19" s="28"/>
      <c r="I19" s="28"/>
      <c r="J19" s="7" t="s">
        <v>191</v>
      </c>
      <c r="K19" s="4">
        <f>SUM(K4:K7,K18)</f>
        <v>0</v>
      </c>
    </row>
    <row r="20" spans="1:12" x14ac:dyDescent="0.25">
      <c r="A20" s="7">
        <v>2</v>
      </c>
      <c r="B20" s="28" t="s">
        <v>192</v>
      </c>
      <c r="C20" s="28"/>
      <c r="D20" s="28"/>
      <c r="E20" s="28"/>
      <c r="F20" s="28"/>
      <c r="G20" s="28"/>
      <c r="H20" s="28"/>
      <c r="I20" s="28"/>
      <c r="J20" s="27"/>
      <c r="K20" s="27"/>
    </row>
    <row r="21" spans="1:12" x14ac:dyDescent="0.25">
      <c r="A21" s="7"/>
      <c r="B21" s="7" t="s">
        <v>1</v>
      </c>
      <c r="C21" s="28" t="s">
        <v>193</v>
      </c>
      <c r="D21" s="28"/>
      <c r="E21" s="28"/>
      <c r="F21" s="28"/>
      <c r="G21" s="28"/>
      <c r="H21" s="9" t="s">
        <v>194</v>
      </c>
      <c r="I21" s="3"/>
      <c r="J21" s="27"/>
      <c r="K21" s="27"/>
    </row>
    <row r="22" spans="1:12" x14ac:dyDescent="0.25">
      <c r="A22" s="7"/>
      <c r="B22" s="7" t="s">
        <v>2</v>
      </c>
      <c r="C22" s="28" t="s">
        <v>39</v>
      </c>
      <c r="D22" s="28"/>
      <c r="E22" s="28"/>
      <c r="F22" s="28"/>
      <c r="G22" s="28"/>
      <c r="H22" s="9" t="s">
        <v>195</v>
      </c>
      <c r="I22" s="3"/>
      <c r="J22" s="27"/>
      <c r="K22" s="27"/>
    </row>
    <row r="23" spans="1:12" x14ac:dyDescent="0.25">
      <c r="A23" s="7"/>
      <c r="B23" s="28" t="s">
        <v>196</v>
      </c>
      <c r="C23" s="28"/>
      <c r="D23" s="28"/>
      <c r="E23" s="28"/>
      <c r="F23" s="28"/>
      <c r="G23" s="28"/>
      <c r="H23" s="28"/>
      <c r="I23" s="28"/>
      <c r="J23" s="7">
        <v>2</v>
      </c>
      <c r="K23" s="4">
        <f>SUM(I21:I22)</f>
        <v>0</v>
      </c>
    </row>
    <row r="24" spans="1:12" x14ac:dyDescent="0.25">
      <c r="A24" s="7">
        <v>3</v>
      </c>
      <c r="B24" s="28" t="s">
        <v>197</v>
      </c>
      <c r="C24" s="28"/>
      <c r="D24" s="28"/>
      <c r="E24" s="28"/>
      <c r="F24" s="28"/>
      <c r="G24" s="28"/>
      <c r="H24" s="28"/>
      <c r="I24" s="28"/>
      <c r="J24" s="7">
        <v>3</v>
      </c>
      <c r="K24" s="4">
        <f>K19-K23</f>
        <v>0</v>
      </c>
    </row>
  </sheetData>
  <sheetProtection sheet="1" objects="1" scenarios="1"/>
  <mergeCells count="40">
    <mergeCell ref="C22:G22"/>
    <mergeCell ref="J22:K22"/>
    <mergeCell ref="B23:I23"/>
    <mergeCell ref="B24:I24"/>
    <mergeCell ref="C18:I18"/>
    <mergeCell ref="C19:I19"/>
    <mergeCell ref="B20:I20"/>
    <mergeCell ref="J20:K20"/>
    <mergeCell ref="C21:G21"/>
    <mergeCell ref="J21:K21"/>
    <mergeCell ref="D15:G15"/>
    <mergeCell ref="J15:K15"/>
    <mergeCell ref="D16:G16"/>
    <mergeCell ref="J16:K16"/>
    <mergeCell ref="D17:G17"/>
    <mergeCell ref="J17:K17"/>
    <mergeCell ref="D12:G12"/>
    <mergeCell ref="J12:K12"/>
    <mergeCell ref="D13:G13"/>
    <mergeCell ref="J13:K13"/>
    <mergeCell ref="D14:G14"/>
    <mergeCell ref="J14:K14"/>
    <mergeCell ref="D9:G9"/>
    <mergeCell ref="J9:K9"/>
    <mergeCell ref="D10:G10"/>
    <mergeCell ref="J10:K10"/>
    <mergeCell ref="C11:I11"/>
    <mergeCell ref="J11:K11"/>
    <mergeCell ref="J8:K8"/>
    <mergeCell ref="B1:I1"/>
    <mergeCell ref="J1:K1"/>
    <mergeCell ref="D2:G2"/>
    <mergeCell ref="J2:K2"/>
    <mergeCell ref="D3:G3"/>
    <mergeCell ref="J3:K3"/>
    <mergeCell ref="D4:I4"/>
    <mergeCell ref="C5:I5"/>
    <mergeCell ref="C6:I6"/>
    <mergeCell ref="C7:I7"/>
    <mergeCell ref="D8:G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opLeftCell="A16" workbookViewId="0">
      <selection activeCell="B46" sqref="B46:I46"/>
    </sheetView>
  </sheetViews>
  <sheetFormatPr defaultRowHeight="15" x14ac:dyDescent="0.25"/>
  <cols>
    <col min="1" max="1" width="5.42578125" style="8" customWidth="1"/>
    <col min="2" max="2" width="6.140625" style="8" customWidth="1"/>
    <col min="3" max="3" width="4.42578125" style="8" customWidth="1"/>
    <col min="4" max="4" width="4.28515625" customWidth="1"/>
    <col min="5" max="5" width="4.140625" customWidth="1"/>
    <col min="6" max="6" width="6" customWidth="1"/>
    <col min="7" max="7" width="57.5703125" customWidth="1"/>
    <col min="8" max="8" width="5.7109375" style="8" customWidth="1"/>
    <col min="9" max="9" width="21.42578125" customWidth="1"/>
    <col min="10" max="10" width="6.28515625" style="8" customWidth="1"/>
    <col min="11" max="11" width="20.140625" customWidth="1"/>
  </cols>
  <sheetData>
    <row r="1" spans="1:11" x14ac:dyDescent="0.25">
      <c r="A1" s="38" t="s">
        <v>198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x14ac:dyDescent="0.25">
      <c r="A2" s="10">
        <v>4</v>
      </c>
      <c r="B2" s="35" t="s">
        <v>199</v>
      </c>
      <c r="C2" s="36"/>
      <c r="D2" s="36"/>
      <c r="E2" s="36"/>
      <c r="F2" s="36"/>
      <c r="G2" s="36"/>
      <c r="H2" s="36"/>
      <c r="I2" s="37"/>
      <c r="J2" s="27"/>
      <c r="K2" s="27"/>
    </row>
    <row r="3" spans="1:11" x14ac:dyDescent="0.25">
      <c r="A3" s="10"/>
      <c r="B3" s="12" t="s">
        <v>0</v>
      </c>
      <c r="C3" s="36" t="s">
        <v>200</v>
      </c>
      <c r="D3" s="36"/>
      <c r="E3" s="36"/>
      <c r="F3" s="36"/>
      <c r="G3" s="36"/>
      <c r="H3" s="36"/>
      <c r="I3" s="37"/>
      <c r="J3" s="27"/>
      <c r="K3" s="27"/>
    </row>
    <row r="4" spans="1:11" x14ac:dyDescent="0.25">
      <c r="A4" s="7"/>
      <c r="B4" s="7"/>
      <c r="C4" s="7" t="s">
        <v>1</v>
      </c>
      <c r="D4" s="30" t="s">
        <v>201</v>
      </c>
      <c r="E4" s="30"/>
      <c r="F4" s="30"/>
      <c r="G4" s="30"/>
      <c r="H4" s="7" t="s">
        <v>1</v>
      </c>
      <c r="I4" s="3"/>
      <c r="J4" s="27"/>
      <c r="K4" s="27"/>
    </row>
    <row r="5" spans="1:11" x14ac:dyDescent="0.25">
      <c r="A5" s="7"/>
      <c r="B5" s="7"/>
      <c r="C5" s="9" t="s">
        <v>2</v>
      </c>
      <c r="D5" s="30" t="s">
        <v>202</v>
      </c>
      <c r="E5" s="30"/>
      <c r="F5" s="30"/>
      <c r="G5" s="30"/>
      <c r="H5" s="7" t="s">
        <v>2</v>
      </c>
      <c r="I5" s="3"/>
      <c r="J5" s="27"/>
      <c r="K5" s="27"/>
    </row>
    <row r="6" spans="1:11" x14ac:dyDescent="0.25">
      <c r="A6" s="7"/>
      <c r="B6" s="7"/>
      <c r="C6" s="7" t="s">
        <v>3</v>
      </c>
      <c r="D6" s="35" t="s">
        <v>203</v>
      </c>
      <c r="E6" s="36"/>
      <c r="F6" s="36"/>
      <c r="G6" s="37"/>
      <c r="H6" s="7" t="s">
        <v>3</v>
      </c>
      <c r="I6" s="13">
        <f>SUM('Trading Other Details'!B3:B50)</f>
        <v>0</v>
      </c>
      <c r="J6" s="27"/>
      <c r="K6" s="27"/>
    </row>
    <row r="7" spans="1:11" x14ac:dyDescent="0.25">
      <c r="A7" s="7"/>
      <c r="B7" s="7"/>
      <c r="C7" s="7" t="s">
        <v>4</v>
      </c>
      <c r="D7" s="39" t="s">
        <v>204</v>
      </c>
      <c r="E7" s="40"/>
      <c r="F7" s="40"/>
      <c r="G7" s="40"/>
      <c r="H7" s="40"/>
      <c r="I7" s="41"/>
      <c r="J7" s="7" t="s">
        <v>205</v>
      </c>
      <c r="K7" s="4">
        <f>SUM(I4:I6)</f>
        <v>0</v>
      </c>
    </row>
    <row r="8" spans="1:11" x14ac:dyDescent="0.25">
      <c r="A8" s="7"/>
      <c r="B8" s="7" t="s">
        <v>5</v>
      </c>
      <c r="C8" s="28" t="s">
        <v>206</v>
      </c>
      <c r="D8" s="28"/>
      <c r="E8" s="28"/>
      <c r="F8" s="28"/>
      <c r="G8" s="28"/>
      <c r="H8" s="28"/>
      <c r="I8" s="28"/>
      <c r="J8" s="7" t="s">
        <v>5</v>
      </c>
      <c r="K8" s="3"/>
    </row>
    <row r="9" spans="1:11" x14ac:dyDescent="0.25">
      <c r="A9" s="7"/>
      <c r="B9" s="7" t="s">
        <v>16</v>
      </c>
      <c r="C9" s="28" t="s">
        <v>207</v>
      </c>
      <c r="D9" s="28"/>
      <c r="E9" s="28"/>
      <c r="F9" s="28"/>
      <c r="G9" s="28"/>
      <c r="H9" s="28"/>
      <c r="I9" s="28"/>
      <c r="J9" s="27"/>
      <c r="K9" s="27"/>
    </row>
    <row r="10" spans="1:11" x14ac:dyDescent="0.25">
      <c r="A10" s="7"/>
      <c r="B10" s="7"/>
      <c r="C10" s="7" t="s">
        <v>1</v>
      </c>
      <c r="D10" s="30" t="s">
        <v>208</v>
      </c>
      <c r="E10" s="30"/>
      <c r="F10" s="30"/>
      <c r="G10" s="30"/>
      <c r="H10" s="7" t="s">
        <v>1</v>
      </c>
      <c r="I10" s="3"/>
      <c r="J10" s="27"/>
      <c r="K10" s="27"/>
    </row>
    <row r="11" spans="1:11" x14ac:dyDescent="0.25">
      <c r="A11" s="7"/>
      <c r="B11" s="7"/>
      <c r="C11" s="7" t="s">
        <v>2</v>
      </c>
      <c r="D11" s="30" t="s">
        <v>209</v>
      </c>
      <c r="E11" s="30"/>
      <c r="F11" s="30"/>
      <c r="G11" s="30"/>
      <c r="H11" s="7" t="s">
        <v>2</v>
      </c>
      <c r="I11" s="3"/>
      <c r="J11" s="27"/>
      <c r="K11" s="27"/>
    </row>
    <row r="12" spans="1:11" x14ac:dyDescent="0.25">
      <c r="A12" s="7"/>
      <c r="B12" s="7"/>
      <c r="C12" s="7" t="s">
        <v>3</v>
      </c>
      <c r="D12" s="30" t="s">
        <v>210</v>
      </c>
      <c r="E12" s="30"/>
      <c r="F12" s="30"/>
      <c r="G12" s="30"/>
      <c r="H12" s="7" t="s">
        <v>3</v>
      </c>
      <c r="I12" s="3"/>
      <c r="J12" s="27"/>
      <c r="K12" s="27"/>
    </row>
    <row r="13" spans="1:11" x14ac:dyDescent="0.25">
      <c r="A13" s="7"/>
      <c r="B13" s="7"/>
      <c r="C13" s="7" t="s">
        <v>4</v>
      </c>
      <c r="D13" s="30" t="s">
        <v>211</v>
      </c>
      <c r="E13" s="30"/>
      <c r="F13" s="30"/>
      <c r="G13" s="30"/>
      <c r="H13" s="7" t="s">
        <v>4</v>
      </c>
      <c r="I13" s="3"/>
      <c r="J13" s="27"/>
      <c r="K13" s="27"/>
    </row>
    <row r="14" spans="1:11" x14ac:dyDescent="0.25">
      <c r="A14" s="7"/>
      <c r="B14" s="7"/>
      <c r="C14" s="7" t="s">
        <v>7</v>
      </c>
      <c r="D14" s="30" t="s">
        <v>212</v>
      </c>
      <c r="E14" s="30"/>
      <c r="F14" s="30"/>
      <c r="G14" s="30"/>
      <c r="H14" s="7" t="s">
        <v>7</v>
      </c>
      <c r="I14" s="3"/>
      <c r="J14" s="27"/>
      <c r="K14" s="27"/>
    </row>
    <row r="15" spans="1:11" x14ac:dyDescent="0.25">
      <c r="A15" s="7"/>
      <c r="B15" s="7"/>
      <c r="C15" s="7" t="s">
        <v>8</v>
      </c>
      <c r="D15" s="28" t="s">
        <v>213</v>
      </c>
      <c r="E15" s="28"/>
      <c r="F15" s="28"/>
      <c r="G15" s="28"/>
      <c r="H15" s="7" t="s">
        <v>8</v>
      </c>
      <c r="I15" s="3"/>
      <c r="J15" s="27"/>
      <c r="K15" s="27"/>
    </row>
    <row r="16" spans="1:11" x14ac:dyDescent="0.25">
      <c r="A16" s="7"/>
      <c r="B16" s="7"/>
      <c r="C16" s="7" t="s">
        <v>9</v>
      </c>
      <c r="D16" s="28" t="s">
        <v>214</v>
      </c>
      <c r="E16" s="28"/>
      <c r="F16" s="28"/>
      <c r="G16" s="28"/>
      <c r="H16" s="7" t="s">
        <v>9</v>
      </c>
      <c r="I16" s="3"/>
      <c r="J16" s="27"/>
      <c r="K16" s="27"/>
    </row>
    <row r="17" spans="1:11" x14ac:dyDescent="0.25">
      <c r="A17" s="7"/>
      <c r="B17" s="7"/>
      <c r="C17" s="7" t="s">
        <v>13</v>
      </c>
      <c r="D17" s="28" t="s">
        <v>215</v>
      </c>
      <c r="E17" s="28"/>
      <c r="F17" s="28"/>
      <c r="G17" s="28"/>
      <c r="H17" s="7" t="s">
        <v>13</v>
      </c>
      <c r="I17" s="3"/>
      <c r="J17" s="27"/>
      <c r="K17" s="27"/>
    </row>
    <row r="18" spans="1:11" x14ac:dyDescent="0.25">
      <c r="A18" s="7"/>
      <c r="B18" s="7"/>
      <c r="C18" s="12" t="s">
        <v>216</v>
      </c>
      <c r="D18" s="36" t="s">
        <v>217</v>
      </c>
      <c r="E18" s="36"/>
      <c r="F18" s="36"/>
      <c r="G18" s="36"/>
      <c r="H18" s="36"/>
      <c r="I18" s="37"/>
      <c r="J18" s="7" t="s">
        <v>218</v>
      </c>
      <c r="K18" s="4">
        <f>SUM(I10:I17)</f>
        <v>0</v>
      </c>
    </row>
    <row r="19" spans="1:11" x14ac:dyDescent="0.25">
      <c r="A19" s="7"/>
      <c r="B19" s="7" t="s">
        <v>17</v>
      </c>
      <c r="C19" s="28" t="s">
        <v>219</v>
      </c>
      <c r="D19" s="28"/>
      <c r="E19" s="28"/>
      <c r="F19" s="28"/>
      <c r="G19" s="28"/>
      <c r="H19" s="28"/>
      <c r="I19" s="28"/>
      <c r="J19" s="7" t="s">
        <v>220</v>
      </c>
      <c r="K19" s="4">
        <f>SUM(K7:K8,K18)</f>
        <v>0</v>
      </c>
    </row>
    <row r="20" spans="1:11" x14ac:dyDescent="0.25">
      <c r="A20" s="7">
        <v>5</v>
      </c>
      <c r="B20" s="28" t="s">
        <v>221</v>
      </c>
      <c r="C20" s="28"/>
      <c r="D20" s="28"/>
      <c r="E20" s="28"/>
      <c r="F20" s="28"/>
      <c r="G20" s="28"/>
      <c r="H20" s="28"/>
      <c r="I20" s="28"/>
      <c r="J20" s="7">
        <v>5</v>
      </c>
      <c r="K20" s="3"/>
    </row>
    <row r="21" spans="1:11" x14ac:dyDescent="0.25">
      <c r="A21" s="7">
        <v>6</v>
      </c>
      <c r="B21" s="28" t="s">
        <v>222</v>
      </c>
      <c r="C21" s="28"/>
      <c r="D21" s="28"/>
      <c r="E21" s="28"/>
      <c r="F21" s="28"/>
      <c r="G21" s="28"/>
      <c r="H21" s="28"/>
      <c r="I21" s="28"/>
      <c r="J21" s="7">
        <v>6</v>
      </c>
      <c r="K21" s="4">
        <f>SUM(K19:K20)</f>
        <v>0</v>
      </c>
    </row>
    <row r="22" spans="1:11" x14ac:dyDescent="0.25">
      <c r="A22" s="38" t="s">
        <v>223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</row>
    <row r="23" spans="1:11" x14ac:dyDescent="0.25">
      <c r="A23" s="7">
        <v>7</v>
      </c>
      <c r="B23" s="28" t="s">
        <v>385</v>
      </c>
      <c r="C23" s="28"/>
      <c r="D23" s="28"/>
      <c r="E23" s="28"/>
      <c r="F23" s="28"/>
      <c r="G23" s="28"/>
      <c r="H23" s="28"/>
      <c r="I23" s="28"/>
      <c r="J23" s="7">
        <v>7</v>
      </c>
      <c r="K23" s="3"/>
    </row>
    <row r="24" spans="1:11" x14ac:dyDescent="0.25">
      <c r="A24" s="7">
        <v>8</v>
      </c>
      <c r="B24" s="28" t="s">
        <v>175</v>
      </c>
      <c r="C24" s="28"/>
      <c r="D24" s="28"/>
      <c r="E24" s="28"/>
      <c r="F24" s="28"/>
      <c r="G24" s="28"/>
      <c r="H24" s="28"/>
      <c r="I24" s="28"/>
      <c r="J24" s="7">
        <v>8</v>
      </c>
      <c r="K24" s="3"/>
    </row>
    <row r="25" spans="1:11" x14ac:dyDescent="0.25">
      <c r="A25" s="7">
        <v>9</v>
      </c>
      <c r="B25" s="42" t="s">
        <v>224</v>
      </c>
      <c r="C25" s="43"/>
      <c r="D25" s="43"/>
      <c r="E25" s="43"/>
      <c r="F25" s="43"/>
      <c r="G25" s="43"/>
      <c r="H25" s="43"/>
      <c r="I25" s="44"/>
      <c r="J25" s="7">
        <v>9</v>
      </c>
      <c r="K25" s="4">
        <f>SUM(I26:I28)</f>
        <v>0</v>
      </c>
    </row>
    <row r="26" spans="1:11" x14ac:dyDescent="0.25">
      <c r="A26" s="7"/>
      <c r="B26" s="7" t="s">
        <v>1</v>
      </c>
      <c r="C26" s="42" t="s">
        <v>178</v>
      </c>
      <c r="D26" s="43"/>
      <c r="E26" s="43"/>
      <c r="F26" s="43"/>
      <c r="G26" s="44"/>
      <c r="H26" s="7" t="s">
        <v>225</v>
      </c>
      <c r="I26" s="3"/>
      <c r="J26" s="27"/>
      <c r="K26" s="27"/>
    </row>
    <row r="27" spans="1:11" x14ac:dyDescent="0.25">
      <c r="A27" s="7"/>
      <c r="B27" s="7" t="s">
        <v>2</v>
      </c>
      <c r="C27" s="42" t="s">
        <v>179</v>
      </c>
      <c r="D27" s="43"/>
      <c r="E27" s="43"/>
      <c r="F27" s="43"/>
      <c r="G27" s="44"/>
      <c r="H27" s="7" t="s">
        <v>226</v>
      </c>
      <c r="I27" s="3"/>
      <c r="J27" s="27"/>
      <c r="K27" s="27"/>
    </row>
    <row r="28" spans="1:11" x14ac:dyDescent="0.25">
      <c r="A28" s="7"/>
      <c r="B28" s="7" t="s">
        <v>3</v>
      </c>
      <c r="C28" s="42" t="s">
        <v>227</v>
      </c>
      <c r="D28" s="43"/>
      <c r="E28" s="43"/>
      <c r="F28" s="43"/>
      <c r="G28" s="44"/>
      <c r="H28" s="7" t="s">
        <v>228</v>
      </c>
      <c r="I28" s="13">
        <f>SUM('Trading Other Details'!E3:E50)</f>
        <v>0</v>
      </c>
      <c r="J28" s="27"/>
      <c r="K28" s="27"/>
    </row>
    <row r="29" spans="1:11" x14ac:dyDescent="0.25">
      <c r="A29" s="7">
        <v>10</v>
      </c>
      <c r="B29" s="42" t="s">
        <v>229</v>
      </c>
      <c r="C29" s="43"/>
      <c r="D29" s="43"/>
      <c r="E29" s="43"/>
      <c r="F29" s="43"/>
      <c r="G29" s="43"/>
      <c r="H29" s="43"/>
      <c r="I29" s="44"/>
      <c r="J29" s="27"/>
      <c r="K29" s="27"/>
    </row>
    <row r="30" spans="1:11" x14ac:dyDescent="0.25">
      <c r="A30" s="7"/>
      <c r="B30" s="7" t="s">
        <v>1</v>
      </c>
      <c r="C30" s="42" t="s">
        <v>230</v>
      </c>
      <c r="D30" s="43"/>
      <c r="E30" s="43"/>
      <c r="F30" s="43"/>
      <c r="G30" s="44"/>
      <c r="H30" s="7" t="s">
        <v>231</v>
      </c>
      <c r="I30" s="3"/>
      <c r="J30" s="27"/>
      <c r="K30" s="27"/>
    </row>
    <row r="31" spans="1:11" x14ac:dyDescent="0.25">
      <c r="A31" s="7"/>
      <c r="B31" s="7" t="s">
        <v>2</v>
      </c>
      <c r="C31" s="42" t="s">
        <v>232</v>
      </c>
      <c r="D31" s="43"/>
      <c r="E31" s="43"/>
      <c r="F31" s="43"/>
      <c r="G31" s="44"/>
      <c r="H31" s="7" t="s">
        <v>233</v>
      </c>
      <c r="I31" s="3"/>
      <c r="J31" s="27"/>
      <c r="K31" s="27"/>
    </row>
    <row r="32" spans="1:11" x14ac:dyDescent="0.25">
      <c r="A32" s="7"/>
      <c r="B32" s="7" t="s">
        <v>3</v>
      </c>
      <c r="C32" s="42" t="s">
        <v>234</v>
      </c>
      <c r="D32" s="43"/>
      <c r="E32" s="43"/>
      <c r="F32" s="43"/>
      <c r="G32" s="44"/>
      <c r="H32" s="7" t="s">
        <v>235</v>
      </c>
      <c r="I32" s="3"/>
      <c r="J32" s="27"/>
      <c r="K32" s="27"/>
    </row>
    <row r="33" spans="1:11" x14ac:dyDescent="0.25">
      <c r="A33" s="7"/>
      <c r="B33" s="7" t="s">
        <v>4</v>
      </c>
      <c r="C33" s="42" t="s">
        <v>236</v>
      </c>
      <c r="D33" s="43"/>
      <c r="E33" s="43"/>
      <c r="F33" s="43"/>
      <c r="G33" s="44"/>
      <c r="H33" s="7" t="s">
        <v>237</v>
      </c>
      <c r="I33" s="3"/>
      <c r="J33" s="27"/>
      <c r="K33" s="27"/>
    </row>
    <row r="34" spans="1:11" x14ac:dyDescent="0.25">
      <c r="A34" s="7"/>
      <c r="B34" s="7" t="s">
        <v>7</v>
      </c>
      <c r="C34" s="42" t="s">
        <v>209</v>
      </c>
      <c r="D34" s="43"/>
      <c r="E34" s="43"/>
      <c r="F34" s="43"/>
      <c r="G34" s="44"/>
      <c r="H34" s="7" t="s">
        <v>238</v>
      </c>
      <c r="I34" s="3"/>
      <c r="J34" s="27"/>
      <c r="K34" s="27"/>
    </row>
    <row r="35" spans="1:11" x14ac:dyDescent="0.25">
      <c r="A35" s="7"/>
      <c r="B35" s="7" t="s">
        <v>8</v>
      </c>
      <c r="C35" s="42" t="s">
        <v>210</v>
      </c>
      <c r="D35" s="43"/>
      <c r="E35" s="43"/>
      <c r="F35" s="43"/>
      <c r="G35" s="44"/>
      <c r="H35" s="7" t="s">
        <v>239</v>
      </c>
      <c r="I35" s="3"/>
      <c r="J35" s="27"/>
      <c r="K35" s="27"/>
    </row>
    <row r="36" spans="1:11" x14ac:dyDescent="0.25">
      <c r="A36" s="7"/>
      <c r="B36" s="7" t="s">
        <v>9</v>
      </c>
      <c r="C36" s="42" t="s">
        <v>211</v>
      </c>
      <c r="D36" s="43"/>
      <c r="E36" s="43"/>
      <c r="F36" s="43"/>
      <c r="G36" s="44"/>
      <c r="H36" s="7" t="s">
        <v>240</v>
      </c>
      <c r="I36" s="3"/>
      <c r="J36" s="27"/>
      <c r="K36" s="27"/>
    </row>
    <row r="37" spans="1:11" x14ac:dyDescent="0.25">
      <c r="A37" s="7"/>
      <c r="B37" s="7" t="s">
        <v>13</v>
      </c>
      <c r="C37" s="42" t="s">
        <v>212</v>
      </c>
      <c r="D37" s="43"/>
      <c r="E37" s="43"/>
      <c r="F37" s="43"/>
      <c r="G37" s="44"/>
      <c r="H37" s="7" t="s">
        <v>241</v>
      </c>
      <c r="I37" s="3"/>
      <c r="J37" s="27"/>
      <c r="K37" s="27"/>
    </row>
    <row r="38" spans="1:11" x14ac:dyDescent="0.25">
      <c r="A38" s="7"/>
      <c r="B38" s="7" t="s">
        <v>216</v>
      </c>
      <c r="C38" s="42" t="s">
        <v>213</v>
      </c>
      <c r="D38" s="43"/>
      <c r="E38" s="43"/>
      <c r="F38" s="43"/>
      <c r="G38" s="44"/>
      <c r="H38" s="7" t="s">
        <v>242</v>
      </c>
      <c r="I38" s="3"/>
      <c r="J38" s="27"/>
      <c r="K38" s="27"/>
    </row>
    <row r="39" spans="1:11" x14ac:dyDescent="0.25">
      <c r="A39" s="7"/>
      <c r="B39" s="7" t="s">
        <v>243</v>
      </c>
      <c r="C39" s="42" t="s">
        <v>214</v>
      </c>
      <c r="D39" s="43"/>
      <c r="E39" s="43"/>
      <c r="F39" s="43"/>
      <c r="G39" s="44"/>
      <c r="H39" s="7" t="s">
        <v>244</v>
      </c>
      <c r="I39" s="3"/>
      <c r="J39" s="27"/>
      <c r="K39" s="27"/>
    </row>
    <row r="40" spans="1:11" x14ac:dyDescent="0.25">
      <c r="A40" s="7"/>
      <c r="B40" s="7" t="s">
        <v>245</v>
      </c>
      <c r="C40" s="42" t="s">
        <v>246</v>
      </c>
      <c r="D40" s="43"/>
      <c r="E40" s="43"/>
      <c r="F40" s="43"/>
      <c r="G40" s="44"/>
      <c r="H40" s="7" t="s">
        <v>247</v>
      </c>
      <c r="I40" s="3"/>
      <c r="J40" s="27"/>
      <c r="K40" s="27"/>
    </row>
    <row r="41" spans="1:11" x14ac:dyDescent="0.25">
      <c r="A41" s="7"/>
      <c r="B41" s="7" t="s">
        <v>248</v>
      </c>
      <c r="C41" s="42" t="s">
        <v>249</v>
      </c>
      <c r="D41" s="43"/>
      <c r="E41" s="43"/>
      <c r="F41" s="43"/>
      <c r="G41" s="43"/>
      <c r="H41" s="43"/>
      <c r="I41" s="44"/>
      <c r="J41" s="7" t="s">
        <v>250</v>
      </c>
      <c r="K41" s="4">
        <f>SUM(I30:I40)</f>
        <v>0</v>
      </c>
    </row>
    <row r="42" spans="1:11" x14ac:dyDescent="0.25">
      <c r="A42" s="7">
        <v>11</v>
      </c>
      <c r="B42" s="28" t="s">
        <v>251</v>
      </c>
      <c r="C42" s="28"/>
      <c r="D42" s="28"/>
      <c r="E42" s="28"/>
      <c r="F42" s="28"/>
      <c r="G42" s="28"/>
      <c r="H42" s="28"/>
      <c r="I42" s="28"/>
      <c r="J42" s="7">
        <v>11</v>
      </c>
      <c r="K42" s="4">
        <f>'Manufacturing Account'!K24</f>
        <v>0</v>
      </c>
    </row>
    <row r="43" spans="1:11" x14ac:dyDescent="0.25">
      <c r="A43" s="7">
        <v>12</v>
      </c>
      <c r="B43" s="45" t="s">
        <v>252</v>
      </c>
      <c r="C43" s="43"/>
      <c r="D43" s="43"/>
      <c r="E43" s="43"/>
      <c r="F43" s="43"/>
      <c r="G43" s="43"/>
      <c r="H43" s="43"/>
      <c r="I43" s="44"/>
      <c r="J43" s="7">
        <v>12</v>
      </c>
      <c r="K43" s="4">
        <f>K21-K23-K24-K25-K41-K42</f>
        <v>0</v>
      </c>
    </row>
    <row r="44" spans="1:11" x14ac:dyDescent="0.25">
      <c r="A44" s="7" t="s">
        <v>253</v>
      </c>
      <c r="B44" s="28" t="s">
        <v>254</v>
      </c>
      <c r="C44" s="28"/>
      <c r="D44" s="28"/>
      <c r="E44" s="28"/>
      <c r="F44" s="28"/>
      <c r="G44" s="28"/>
      <c r="H44" s="28"/>
      <c r="I44" s="28"/>
      <c r="J44" s="7" t="s">
        <v>253</v>
      </c>
      <c r="K44" s="3"/>
    </row>
    <row r="45" spans="1:11" x14ac:dyDescent="0.25">
      <c r="A45" s="7" t="s">
        <v>255</v>
      </c>
      <c r="B45" s="28" t="s">
        <v>256</v>
      </c>
      <c r="C45" s="28"/>
      <c r="D45" s="28"/>
      <c r="E45" s="28"/>
      <c r="F45" s="28"/>
      <c r="G45" s="28"/>
      <c r="H45" s="28"/>
      <c r="I45" s="28"/>
      <c r="J45" s="7" t="s">
        <v>255</v>
      </c>
      <c r="K45" s="3"/>
    </row>
    <row r="46" spans="1:11" x14ac:dyDescent="0.25">
      <c r="A46" s="7" t="s">
        <v>694</v>
      </c>
      <c r="B46" s="28" t="s">
        <v>697</v>
      </c>
      <c r="C46" s="28"/>
      <c r="D46" s="28"/>
      <c r="E46" s="28"/>
      <c r="F46" s="28"/>
      <c r="G46" s="28"/>
      <c r="H46" s="28"/>
      <c r="I46" s="28"/>
      <c r="J46" s="7" t="s">
        <v>253</v>
      </c>
      <c r="K46" s="3"/>
    </row>
    <row r="47" spans="1:11" x14ac:dyDescent="0.25">
      <c r="A47" s="7" t="s">
        <v>695</v>
      </c>
      <c r="B47" s="28" t="s">
        <v>696</v>
      </c>
      <c r="C47" s="28"/>
      <c r="D47" s="28"/>
      <c r="E47" s="28"/>
      <c r="F47" s="28"/>
      <c r="G47" s="28"/>
      <c r="H47" s="28"/>
      <c r="I47" s="28"/>
      <c r="J47" s="7" t="s">
        <v>255</v>
      </c>
      <c r="K47" s="3"/>
    </row>
  </sheetData>
  <sheetProtection sheet="1" objects="1" scenarios="1"/>
  <mergeCells count="76">
    <mergeCell ref="B45:I45"/>
    <mergeCell ref="C40:G40"/>
    <mergeCell ref="J40:K40"/>
    <mergeCell ref="C41:I41"/>
    <mergeCell ref="B42:I42"/>
    <mergeCell ref="B43:I43"/>
    <mergeCell ref="B44:I44"/>
    <mergeCell ref="C37:G37"/>
    <mergeCell ref="J37:K37"/>
    <mergeCell ref="C38:G38"/>
    <mergeCell ref="J38:K38"/>
    <mergeCell ref="C39:G39"/>
    <mergeCell ref="J39:K39"/>
    <mergeCell ref="C34:G34"/>
    <mergeCell ref="J34:K34"/>
    <mergeCell ref="C35:G35"/>
    <mergeCell ref="J35:K35"/>
    <mergeCell ref="C36:G36"/>
    <mergeCell ref="J36:K36"/>
    <mergeCell ref="C31:G31"/>
    <mergeCell ref="J31:K31"/>
    <mergeCell ref="C32:G32"/>
    <mergeCell ref="J32:K32"/>
    <mergeCell ref="C33:G33"/>
    <mergeCell ref="J33:K33"/>
    <mergeCell ref="C28:G28"/>
    <mergeCell ref="J28:K28"/>
    <mergeCell ref="B29:I29"/>
    <mergeCell ref="J29:K29"/>
    <mergeCell ref="C30:G30"/>
    <mergeCell ref="J30:K30"/>
    <mergeCell ref="B24:I24"/>
    <mergeCell ref="B25:I25"/>
    <mergeCell ref="C26:G26"/>
    <mergeCell ref="J26:K26"/>
    <mergeCell ref="C27:G27"/>
    <mergeCell ref="J27:K27"/>
    <mergeCell ref="B23:I23"/>
    <mergeCell ref="D15:G15"/>
    <mergeCell ref="J15:K15"/>
    <mergeCell ref="D16:G16"/>
    <mergeCell ref="J16:K16"/>
    <mergeCell ref="D17:G17"/>
    <mergeCell ref="J17:K17"/>
    <mergeCell ref="D18:I18"/>
    <mergeCell ref="C19:I19"/>
    <mergeCell ref="B20:I20"/>
    <mergeCell ref="B21:I21"/>
    <mergeCell ref="A22:K22"/>
    <mergeCell ref="D12:G12"/>
    <mergeCell ref="J12:K12"/>
    <mergeCell ref="D13:G13"/>
    <mergeCell ref="J13:K13"/>
    <mergeCell ref="D14:G14"/>
    <mergeCell ref="J14:K14"/>
    <mergeCell ref="J9:K9"/>
    <mergeCell ref="D10:G10"/>
    <mergeCell ref="J10:K10"/>
    <mergeCell ref="D11:G11"/>
    <mergeCell ref="J11:K11"/>
    <mergeCell ref="B46:I46"/>
    <mergeCell ref="B47:I47"/>
    <mergeCell ref="C8:I8"/>
    <mergeCell ref="A1:K1"/>
    <mergeCell ref="B2:I2"/>
    <mergeCell ref="J2:K2"/>
    <mergeCell ref="C3:I3"/>
    <mergeCell ref="J3:K3"/>
    <mergeCell ref="D4:G4"/>
    <mergeCell ref="J4:K4"/>
    <mergeCell ref="D5:G5"/>
    <mergeCell ref="J5:K5"/>
    <mergeCell ref="D6:G6"/>
    <mergeCell ref="J6:K6"/>
    <mergeCell ref="D7:I7"/>
    <mergeCell ref="C9:I9"/>
  </mergeCells>
  <hyperlinks>
    <hyperlink ref="I6" location="'Trading Other Details'!A3" display="'Trading Other Details'!A3"/>
    <hyperlink ref="I28" location="'Trading Other Details'!D3" display="'Trading Other Details'!D3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3" sqref="A3"/>
    </sheetView>
  </sheetViews>
  <sheetFormatPr defaultRowHeight="15" x14ac:dyDescent="0.25"/>
  <cols>
    <col min="1" max="1" width="53.140625" style="14" customWidth="1"/>
    <col min="2" max="2" width="18" style="15" customWidth="1"/>
    <col min="4" max="4" width="53.140625" style="14" customWidth="1"/>
    <col min="5" max="5" width="18" style="15" customWidth="1"/>
  </cols>
  <sheetData>
    <row r="1" spans="1:5" x14ac:dyDescent="0.25">
      <c r="A1" s="46" t="s">
        <v>203</v>
      </c>
      <c r="B1" s="46"/>
      <c r="D1" s="46" t="s">
        <v>227</v>
      </c>
      <c r="E1" s="46"/>
    </row>
    <row r="2" spans="1:5" x14ac:dyDescent="0.25">
      <c r="A2" s="11" t="s">
        <v>257</v>
      </c>
      <c r="B2" s="11" t="s">
        <v>258</v>
      </c>
      <c r="D2" s="11" t="s">
        <v>257</v>
      </c>
      <c r="E2" s="11" t="s">
        <v>258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1"/>
  <sheetViews>
    <sheetView tabSelected="1" workbookViewId="0">
      <selection activeCell="K2" sqref="K2"/>
    </sheetView>
  </sheetViews>
  <sheetFormatPr defaultRowHeight="15" x14ac:dyDescent="0.25"/>
  <cols>
    <col min="1" max="1" width="5.42578125" style="8" customWidth="1"/>
    <col min="2" max="2" width="6.140625" style="8" customWidth="1"/>
    <col min="3" max="3" width="4.42578125" style="8" customWidth="1"/>
    <col min="4" max="4" width="4.28515625" customWidth="1"/>
    <col min="5" max="5" width="4.140625" customWidth="1"/>
    <col min="6" max="6" width="6" customWidth="1"/>
    <col min="7" max="7" width="57.5703125" customWidth="1"/>
    <col min="8" max="8" width="5.7109375" style="8" customWidth="1"/>
    <col min="9" max="9" width="21.42578125" customWidth="1"/>
    <col min="10" max="10" width="6.28515625" style="8" customWidth="1"/>
    <col min="11" max="11" width="20.140625" customWidth="1"/>
  </cols>
  <sheetData>
    <row r="1" spans="1:11" x14ac:dyDescent="0.25">
      <c r="A1" s="38" t="s">
        <v>259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x14ac:dyDescent="0.25">
      <c r="A2" s="7">
        <v>13</v>
      </c>
      <c r="B2" s="28" t="s">
        <v>260</v>
      </c>
      <c r="C2" s="28"/>
      <c r="D2" s="28"/>
      <c r="E2" s="28"/>
      <c r="F2" s="28"/>
      <c r="G2" s="28"/>
      <c r="H2" s="28"/>
      <c r="I2" s="28"/>
      <c r="J2" s="7">
        <v>13</v>
      </c>
      <c r="K2" s="4">
        <f>'Trading Account'!K43+'Trading Account'!K45+'Trading Account'!K47</f>
        <v>0</v>
      </c>
    </row>
    <row r="3" spans="1:11" x14ac:dyDescent="0.25">
      <c r="A3" s="9">
        <v>14</v>
      </c>
      <c r="B3" s="35" t="s">
        <v>261</v>
      </c>
      <c r="C3" s="36"/>
      <c r="D3" s="36"/>
      <c r="E3" s="36"/>
      <c r="F3" s="36"/>
      <c r="G3" s="36"/>
      <c r="H3" s="36"/>
      <c r="I3" s="37"/>
      <c r="J3" s="27"/>
      <c r="K3" s="27"/>
    </row>
    <row r="4" spans="1:11" x14ac:dyDescent="0.25">
      <c r="A4" s="7"/>
      <c r="B4" s="7" t="s">
        <v>1</v>
      </c>
      <c r="C4" s="42" t="s">
        <v>262</v>
      </c>
      <c r="D4" s="43"/>
      <c r="E4" s="43"/>
      <c r="F4" s="43"/>
      <c r="G4" s="44"/>
      <c r="H4" s="7" t="s">
        <v>1</v>
      </c>
      <c r="I4" s="3"/>
      <c r="J4" s="27"/>
      <c r="K4" s="27"/>
    </row>
    <row r="5" spans="1:11" x14ac:dyDescent="0.25">
      <c r="A5" s="7"/>
      <c r="B5" s="7" t="s">
        <v>2</v>
      </c>
      <c r="C5" s="42" t="s">
        <v>263</v>
      </c>
      <c r="D5" s="43"/>
      <c r="E5" s="43"/>
      <c r="F5" s="43"/>
      <c r="G5" s="44"/>
      <c r="H5" s="7" t="s">
        <v>2</v>
      </c>
      <c r="I5" s="3"/>
      <c r="J5" s="27"/>
      <c r="K5" s="27"/>
    </row>
    <row r="6" spans="1:11" x14ac:dyDescent="0.25">
      <c r="A6" s="7"/>
      <c r="B6" s="7" t="s">
        <v>3</v>
      </c>
      <c r="C6" s="42" t="s">
        <v>264</v>
      </c>
      <c r="D6" s="43"/>
      <c r="E6" s="43"/>
      <c r="F6" s="43"/>
      <c r="G6" s="44"/>
      <c r="H6" s="7" t="s">
        <v>3</v>
      </c>
      <c r="I6" s="3"/>
      <c r="J6" s="27"/>
      <c r="K6" s="27"/>
    </row>
    <row r="7" spans="1:11" x14ac:dyDescent="0.25">
      <c r="A7" s="7"/>
      <c r="B7" s="7" t="s">
        <v>4</v>
      </c>
      <c r="C7" s="42" t="s">
        <v>265</v>
      </c>
      <c r="D7" s="43"/>
      <c r="E7" s="43"/>
      <c r="F7" s="43"/>
      <c r="G7" s="44"/>
      <c r="H7" s="7" t="s">
        <v>4</v>
      </c>
      <c r="I7" s="3"/>
      <c r="J7" s="27"/>
      <c r="K7" s="27"/>
    </row>
    <row r="8" spans="1:11" x14ac:dyDescent="0.25">
      <c r="A8" s="7"/>
      <c r="B8" s="7" t="s">
        <v>7</v>
      </c>
      <c r="C8" s="42" t="s">
        <v>266</v>
      </c>
      <c r="D8" s="43"/>
      <c r="E8" s="43"/>
      <c r="F8" s="43"/>
      <c r="G8" s="44"/>
      <c r="H8" s="7" t="s">
        <v>7</v>
      </c>
      <c r="I8" s="3"/>
      <c r="J8" s="27"/>
      <c r="K8" s="27"/>
    </row>
    <row r="9" spans="1:11" x14ac:dyDescent="0.25">
      <c r="A9" s="7"/>
      <c r="B9" s="7" t="s">
        <v>8</v>
      </c>
      <c r="C9" s="42" t="s">
        <v>267</v>
      </c>
      <c r="D9" s="43"/>
      <c r="E9" s="43"/>
      <c r="F9" s="43"/>
      <c r="G9" s="44"/>
      <c r="H9" s="7" t="s">
        <v>8</v>
      </c>
      <c r="I9" s="3"/>
      <c r="J9" s="27"/>
      <c r="K9" s="27"/>
    </row>
    <row r="10" spans="1:11" x14ac:dyDescent="0.25">
      <c r="A10" s="7"/>
      <c r="B10" s="7" t="s">
        <v>9</v>
      </c>
      <c r="C10" s="42" t="s">
        <v>268</v>
      </c>
      <c r="D10" s="43"/>
      <c r="E10" s="43"/>
      <c r="F10" s="43"/>
      <c r="G10" s="44"/>
      <c r="H10" s="7" t="s">
        <v>9</v>
      </c>
      <c r="I10" s="3"/>
      <c r="J10" s="27"/>
      <c r="K10" s="27"/>
    </row>
    <row r="11" spans="1:11" x14ac:dyDescent="0.25">
      <c r="A11" s="7"/>
      <c r="B11" s="7" t="s">
        <v>13</v>
      </c>
      <c r="C11" s="42" t="s">
        <v>269</v>
      </c>
      <c r="D11" s="43"/>
      <c r="E11" s="43"/>
      <c r="F11" s="43"/>
      <c r="G11" s="44"/>
      <c r="H11" s="7" t="s">
        <v>13</v>
      </c>
      <c r="I11" s="3"/>
      <c r="J11" s="27"/>
      <c r="K11" s="27"/>
    </row>
    <row r="12" spans="1:11" x14ac:dyDescent="0.25">
      <c r="A12" s="7"/>
      <c r="B12" s="7" t="s">
        <v>216</v>
      </c>
      <c r="C12" s="45" t="s">
        <v>270</v>
      </c>
      <c r="D12" s="43"/>
      <c r="E12" s="43"/>
      <c r="F12" s="43"/>
      <c r="G12" s="44"/>
      <c r="H12" s="7" t="s">
        <v>216</v>
      </c>
      <c r="I12" s="3"/>
      <c r="J12" s="27"/>
      <c r="K12" s="27"/>
    </row>
    <row r="13" spans="1:11" x14ac:dyDescent="0.25">
      <c r="A13" s="7"/>
      <c r="B13" s="7" t="s">
        <v>243</v>
      </c>
      <c r="C13" s="42" t="s">
        <v>271</v>
      </c>
      <c r="D13" s="43"/>
      <c r="E13" s="43"/>
      <c r="F13" s="43"/>
      <c r="G13" s="44"/>
      <c r="H13" s="7" t="s">
        <v>243</v>
      </c>
      <c r="I13" s="3"/>
      <c r="J13" s="27"/>
      <c r="K13" s="27"/>
    </row>
    <row r="14" spans="1:11" x14ac:dyDescent="0.25">
      <c r="A14" s="7"/>
      <c r="B14" s="7" t="s">
        <v>245</v>
      </c>
      <c r="C14" s="42" t="s">
        <v>272</v>
      </c>
      <c r="D14" s="43"/>
      <c r="E14" s="43"/>
      <c r="F14" s="43"/>
      <c r="G14" s="44"/>
      <c r="H14" s="7" t="s">
        <v>245</v>
      </c>
      <c r="I14" s="13">
        <f>SUM('P&amp;L Other Details'!B3:B50)</f>
        <v>0</v>
      </c>
      <c r="J14" s="27"/>
      <c r="K14" s="27"/>
    </row>
    <row r="15" spans="1:11" x14ac:dyDescent="0.25">
      <c r="A15" s="7"/>
      <c r="B15" s="7" t="s">
        <v>248</v>
      </c>
      <c r="C15" s="42" t="s">
        <v>273</v>
      </c>
      <c r="D15" s="43"/>
      <c r="E15" s="43"/>
      <c r="F15" s="43"/>
      <c r="G15" s="43"/>
      <c r="H15" s="43"/>
      <c r="I15" s="44"/>
      <c r="J15" s="7" t="s">
        <v>274</v>
      </c>
      <c r="K15" s="4">
        <f>SUM(I4:I14)</f>
        <v>0</v>
      </c>
    </row>
    <row r="16" spans="1:11" x14ac:dyDescent="0.25">
      <c r="A16" s="7">
        <v>15</v>
      </c>
      <c r="B16" s="28" t="s">
        <v>275</v>
      </c>
      <c r="C16" s="28"/>
      <c r="D16" s="28"/>
      <c r="E16" s="28"/>
      <c r="F16" s="28"/>
      <c r="G16" s="28"/>
      <c r="H16" s="28"/>
      <c r="I16" s="28"/>
      <c r="J16" s="7">
        <v>15</v>
      </c>
      <c r="K16" s="4">
        <f>SUM(K2,K15)</f>
        <v>0</v>
      </c>
    </row>
    <row r="17" spans="1:11" x14ac:dyDescent="0.25">
      <c r="A17" s="38" t="s">
        <v>276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</row>
    <row r="18" spans="1:11" x14ac:dyDescent="0.25">
      <c r="A18" s="7">
        <v>16</v>
      </c>
      <c r="B18" s="28" t="s">
        <v>277</v>
      </c>
      <c r="C18" s="28"/>
      <c r="D18" s="28"/>
      <c r="E18" s="28"/>
      <c r="F18" s="28"/>
      <c r="G18" s="28"/>
      <c r="H18" s="28"/>
      <c r="I18" s="28"/>
      <c r="J18" s="7">
        <v>16</v>
      </c>
      <c r="K18" s="3"/>
    </row>
    <row r="19" spans="1:11" x14ac:dyDescent="0.25">
      <c r="A19" s="7">
        <v>17</v>
      </c>
      <c r="B19" s="28" t="s">
        <v>278</v>
      </c>
      <c r="C19" s="28"/>
      <c r="D19" s="28"/>
      <c r="E19" s="28"/>
      <c r="F19" s="28"/>
      <c r="G19" s="28"/>
      <c r="H19" s="28"/>
      <c r="I19" s="28"/>
      <c r="J19" s="7">
        <v>17</v>
      </c>
      <c r="K19" s="3"/>
    </row>
    <row r="20" spans="1:11" x14ac:dyDescent="0.25">
      <c r="A20" s="7">
        <v>18</v>
      </c>
      <c r="B20" s="28" t="s">
        <v>179</v>
      </c>
      <c r="C20" s="28"/>
      <c r="D20" s="28"/>
      <c r="E20" s="28"/>
      <c r="F20" s="28"/>
      <c r="G20" s="28"/>
      <c r="H20" s="28"/>
      <c r="I20" s="28"/>
      <c r="J20" s="7">
        <v>18</v>
      </c>
      <c r="K20" s="3"/>
    </row>
    <row r="21" spans="1:11" x14ac:dyDescent="0.25">
      <c r="A21" s="7">
        <v>19</v>
      </c>
      <c r="B21" s="28" t="s">
        <v>279</v>
      </c>
      <c r="C21" s="28"/>
      <c r="D21" s="28"/>
      <c r="E21" s="28"/>
      <c r="F21" s="28"/>
      <c r="G21" s="28"/>
      <c r="H21" s="28"/>
      <c r="I21" s="28"/>
      <c r="J21" s="7">
        <v>19</v>
      </c>
      <c r="K21" s="3"/>
    </row>
    <row r="22" spans="1:11" x14ac:dyDescent="0.25">
      <c r="A22" s="7">
        <v>20</v>
      </c>
      <c r="B22" s="28" t="s">
        <v>280</v>
      </c>
      <c r="C22" s="28"/>
      <c r="D22" s="28"/>
      <c r="E22" s="28"/>
      <c r="F22" s="28"/>
      <c r="G22" s="28"/>
      <c r="H22" s="28"/>
      <c r="I22" s="28"/>
      <c r="J22" s="7">
        <v>20</v>
      </c>
      <c r="K22" s="3"/>
    </row>
    <row r="23" spans="1:11" x14ac:dyDescent="0.25">
      <c r="A23" s="7">
        <v>21</v>
      </c>
      <c r="B23" s="28" t="s">
        <v>281</v>
      </c>
      <c r="C23" s="28"/>
      <c r="D23" s="28"/>
      <c r="E23" s="28"/>
      <c r="F23" s="28"/>
      <c r="G23" s="28"/>
      <c r="H23" s="28"/>
      <c r="I23" s="28"/>
      <c r="J23" s="7">
        <v>21</v>
      </c>
      <c r="K23" s="3"/>
    </row>
    <row r="24" spans="1:11" x14ac:dyDescent="0.25">
      <c r="A24" s="7">
        <v>22</v>
      </c>
      <c r="B24" s="42" t="s">
        <v>282</v>
      </c>
      <c r="C24" s="43"/>
      <c r="D24" s="43"/>
      <c r="E24" s="43"/>
      <c r="F24" s="43"/>
      <c r="G24" s="43"/>
      <c r="H24" s="43"/>
      <c r="I24" s="44"/>
      <c r="J24" s="27"/>
      <c r="K24" s="27"/>
    </row>
    <row r="25" spans="1:11" x14ac:dyDescent="0.25">
      <c r="A25" s="7"/>
      <c r="B25" s="7" t="s">
        <v>1</v>
      </c>
      <c r="C25" s="42" t="s">
        <v>283</v>
      </c>
      <c r="D25" s="43"/>
      <c r="E25" s="43"/>
      <c r="F25" s="43"/>
      <c r="G25" s="44"/>
      <c r="H25" s="7" t="s">
        <v>284</v>
      </c>
      <c r="I25" s="3"/>
      <c r="J25" s="27"/>
      <c r="K25" s="27"/>
    </row>
    <row r="26" spans="1:11" x14ac:dyDescent="0.25">
      <c r="A26" s="7"/>
      <c r="B26" s="7" t="s">
        <v>2</v>
      </c>
      <c r="C26" s="42" t="s">
        <v>285</v>
      </c>
      <c r="D26" s="43"/>
      <c r="E26" s="43"/>
      <c r="F26" s="43"/>
      <c r="G26" s="44"/>
      <c r="H26" s="7" t="s">
        <v>286</v>
      </c>
      <c r="I26" s="3"/>
      <c r="J26" s="27"/>
      <c r="K26" s="27"/>
    </row>
    <row r="27" spans="1:11" x14ac:dyDescent="0.25">
      <c r="A27" s="7"/>
      <c r="B27" s="7" t="s">
        <v>3</v>
      </c>
      <c r="C27" s="42" t="s">
        <v>287</v>
      </c>
      <c r="D27" s="43"/>
      <c r="E27" s="43"/>
      <c r="F27" s="43"/>
      <c r="G27" s="44"/>
      <c r="H27" s="7" t="s">
        <v>288</v>
      </c>
      <c r="I27" s="3"/>
      <c r="J27" s="27"/>
      <c r="K27" s="27"/>
    </row>
    <row r="28" spans="1:11" x14ac:dyDescent="0.25">
      <c r="A28" s="7"/>
      <c r="B28" s="7" t="s">
        <v>4</v>
      </c>
      <c r="C28" s="42" t="s">
        <v>289</v>
      </c>
      <c r="D28" s="43"/>
      <c r="E28" s="43"/>
      <c r="F28" s="43"/>
      <c r="G28" s="44"/>
      <c r="H28" s="7" t="s">
        <v>290</v>
      </c>
      <c r="I28" s="3"/>
      <c r="J28" s="27"/>
      <c r="K28" s="27"/>
    </row>
    <row r="29" spans="1:11" x14ac:dyDescent="0.25">
      <c r="A29" s="7"/>
      <c r="B29" s="7" t="s">
        <v>7</v>
      </c>
      <c r="C29" s="42" t="s">
        <v>291</v>
      </c>
      <c r="D29" s="43"/>
      <c r="E29" s="43"/>
      <c r="F29" s="43"/>
      <c r="G29" s="44"/>
      <c r="H29" s="7" t="s">
        <v>292</v>
      </c>
      <c r="I29" s="3"/>
      <c r="J29" s="27"/>
      <c r="K29" s="27"/>
    </row>
    <row r="30" spans="1:11" x14ac:dyDescent="0.25">
      <c r="A30" s="7"/>
      <c r="B30" s="7" t="s">
        <v>8</v>
      </c>
      <c r="C30" s="42" t="s">
        <v>293</v>
      </c>
      <c r="D30" s="43"/>
      <c r="E30" s="43"/>
      <c r="F30" s="43"/>
      <c r="G30" s="44"/>
      <c r="H30" s="7" t="s">
        <v>294</v>
      </c>
      <c r="I30" s="3"/>
      <c r="J30" s="27"/>
      <c r="K30" s="27"/>
    </row>
    <row r="31" spans="1:11" x14ac:dyDescent="0.25">
      <c r="A31" s="7"/>
      <c r="B31" s="7" t="s">
        <v>9</v>
      </c>
      <c r="C31" s="42" t="s">
        <v>295</v>
      </c>
      <c r="D31" s="43"/>
      <c r="E31" s="43"/>
      <c r="F31" s="43"/>
      <c r="G31" s="44"/>
      <c r="H31" s="7" t="s">
        <v>296</v>
      </c>
      <c r="I31" s="3"/>
      <c r="J31" s="27"/>
      <c r="K31" s="27"/>
    </row>
    <row r="32" spans="1:11" x14ac:dyDescent="0.25">
      <c r="A32" s="7"/>
      <c r="B32" s="7" t="s">
        <v>13</v>
      </c>
      <c r="C32" s="42" t="s">
        <v>297</v>
      </c>
      <c r="D32" s="43"/>
      <c r="E32" s="43"/>
      <c r="F32" s="43"/>
      <c r="G32" s="44"/>
      <c r="H32" s="7" t="s">
        <v>298</v>
      </c>
      <c r="I32" s="3"/>
      <c r="J32" s="27"/>
      <c r="K32" s="27"/>
    </row>
    <row r="33" spans="1:11" x14ac:dyDescent="0.25">
      <c r="A33" s="7"/>
      <c r="B33" s="7" t="s">
        <v>216</v>
      </c>
      <c r="C33" s="42" t="s">
        <v>299</v>
      </c>
      <c r="D33" s="43"/>
      <c r="E33" s="43"/>
      <c r="F33" s="43"/>
      <c r="G33" s="44"/>
      <c r="H33" s="7" t="s">
        <v>300</v>
      </c>
      <c r="I33" s="3"/>
      <c r="J33" s="27"/>
      <c r="K33" s="27"/>
    </row>
    <row r="34" spans="1:11" x14ac:dyDescent="0.25">
      <c r="A34" s="7"/>
      <c r="B34" s="7" t="s">
        <v>243</v>
      </c>
      <c r="C34" s="42" t="s">
        <v>301</v>
      </c>
      <c r="D34" s="43"/>
      <c r="E34" s="43"/>
      <c r="F34" s="43"/>
      <c r="G34" s="44"/>
      <c r="H34" s="7" t="s">
        <v>302</v>
      </c>
      <c r="I34" s="3"/>
      <c r="J34" s="27"/>
      <c r="K34" s="27"/>
    </row>
    <row r="35" spans="1:11" x14ac:dyDescent="0.25">
      <c r="A35" s="7"/>
      <c r="B35" s="7" t="s">
        <v>245</v>
      </c>
      <c r="C35" s="42" t="s">
        <v>303</v>
      </c>
      <c r="D35" s="43"/>
      <c r="E35" s="43"/>
      <c r="F35" s="43"/>
      <c r="G35" s="43"/>
      <c r="H35" s="43"/>
      <c r="I35" s="44"/>
      <c r="J35" s="7" t="s">
        <v>304</v>
      </c>
      <c r="K35" s="4">
        <f>SUM(I25:I34)</f>
        <v>0</v>
      </c>
    </row>
    <row r="36" spans="1:11" x14ac:dyDescent="0.25">
      <c r="A36" s="7"/>
      <c r="B36" s="7" t="s">
        <v>248</v>
      </c>
      <c r="C36" s="42" t="s">
        <v>305</v>
      </c>
      <c r="D36" s="43"/>
      <c r="E36" s="43"/>
      <c r="F36" s="43"/>
      <c r="G36" s="44"/>
      <c r="H36" s="7" t="s">
        <v>248</v>
      </c>
      <c r="I36" s="3"/>
      <c r="J36" s="27"/>
      <c r="K36" s="27"/>
    </row>
    <row r="37" spans="1:11" x14ac:dyDescent="0.25">
      <c r="A37" s="7">
        <v>23</v>
      </c>
      <c r="B37" s="42" t="s">
        <v>306</v>
      </c>
      <c r="C37" s="43"/>
      <c r="D37" s="43"/>
      <c r="E37" s="43"/>
      <c r="F37" s="43"/>
      <c r="G37" s="43"/>
      <c r="H37" s="43"/>
      <c r="I37" s="44"/>
      <c r="J37" s="27"/>
      <c r="K37" s="27"/>
    </row>
    <row r="38" spans="1:11" x14ac:dyDescent="0.25">
      <c r="A38" s="7"/>
      <c r="B38" s="7" t="s">
        <v>1</v>
      </c>
      <c r="C38" s="42" t="s">
        <v>307</v>
      </c>
      <c r="D38" s="43"/>
      <c r="E38" s="43"/>
      <c r="F38" s="43"/>
      <c r="G38" s="44"/>
      <c r="H38" s="7" t="s">
        <v>308</v>
      </c>
      <c r="I38" s="3"/>
      <c r="J38" s="27"/>
      <c r="K38" s="27"/>
    </row>
    <row r="39" spans="1:11" x14ac:dyDescent="0.25">
      <c r="A39" s="7"/>
      <c r="B39" s="7" t="s">
        <v>2</v>
      </c>
      <c r="C39" s="42" t="s">
        <v>309</v>
      </c>
      <c r="D39" s="43"/>
      <c r="E39" s="43"/>
      <c r="F39" s="43"/>
      <c r="G39" s="44"/>
      <c r="H39" s="7" t="s">
        <v>310</v>
      </c>
      <c r="I39" s="3"/>
      <c r="J39" s="27"/>
      <c r="K39" s="27"/>
    </row>
    <row r="40" spans="1:11" x14ac:dyDescent="0.25">
      <c r="A40" s="7"/>
      <c r="B40" s="7" t="s">
        <v>3</v>
      </c>
      <c r="C40" s="42" t="s">
        <v>311</v>
      </c>
      <c r="D40" s="43"/>
      <c r="E40" s="43"/>
      <c r="F40" s="43"/>
      <c r="G40" s="44"/>
      <c r="H40" s="7" t="s">
        <v>312</v>
      </c>
      <c r="I40" s="3"/>
      <c r="J40" s="27"/>
      <c r="K40" s="27"/>
    </row>
    <row r="41" spans="1:11" x14ac:dyDescent="0.25">
      <c r="A41" s="7"/>
      <c r="B41" s="7" t="s">
        <v>4</v>
      </c>
      <c r="C41" s="42" t="s">
        <v>313</v>
      </c>
      <c r="D41" s="43"/>
      <c r="E41" s="43"/>
      <c r="F41" s="43"/>
      <c r="G41" s="44"/>
      <c r="H41" s="7" t="s">
        <v>314</v>
      </c>
      <c r="I41" s="3"/>
      <c r="J41" s="27"/>
      <c r="K41" s="27"/>
    </row>
    <row r="42" spans="1:11" x14ac:dyDescent="0.25">
      <c r="A42" s="7"/>
      <c r="B42" s="7" t="s">
        <v>7</v>
      </c>
      <c r="C42" s="42" t="s">
        <v>315</v>
      </c>
      <c r="D42" s="43"/>
      <c r="E42" s="43"/>
      <c r="F42" s="43"/>
      <c r="G42" s="43"/>
      <c r="H42" s="43"/>
      <c r="I42" s="44"/>
      <c r="J42" s="7" t="s">
        <v>316</v>
      </c>
      <c r="K42" s="4">
        <f>SUM(I38:I41)</f>
        <v>0</v>
      </c>
    </row>
    <row r="43" spans="1:11" x14ac:dyDescent="0.25">
      <c r="A43" s="7">
        <v>24</v>
      </c>
      <c r="B43" s="28" t="s">
        <v>317</v>
      </c>
      <c r="C43" s="28"/>
      <c r="D43" s="28"/>
      <c r="E43" s="28"/>
      <c r="F43" s="28"/>
      <c r="G43" s="28"/>
      <c r="H43" s="28"/>
      <c r="I43" s="28"/>
      <c r="J43" s="7">
        <v>24</v>
      </c>
      <c r="K43" s="3"/>
    </row>
    <row r="44" spans="1:11" x14ac:dyDescent="0.25">
      <c r="A44" s="7">
        <v>25</v>
      </c>
      <c r="B44" s="28" t="s">
        <v>318</v>
      </c>
      <c r="C44" s="28"/>
      <c r="D44" s="28"/>
      <c r="E44" s="28"/>
      <c r="F44" s="28"/>
      <c r="G44" s="28"/>
      <c r="H44" s="28"/>
      <c r="I44" s="28"/>
      <c r="J44" s="7">
        <v>25</v>
      </c>
      <c r="K44" s="3"/>
    </row>
    <row r="45" spans="1:11" x14ac:dyDescent="0.25">
      <c r="A45" s="7">
        <v>26</v>
      </c>
      <c r="B45" s="28" t="s">
        <v>319</v>
      </c>
      <c r="C45" s="28"/>
      <c r="D45" s="28"/>
      <c r="E45" s="28"/>
      <c r="F45" s="28"/>
      <c r="G45" s="28"/>
      <c r="H45" s="28"/>
      <c r="I45" s="28"/>
      <c r="J45" s="7">
        <v>26</v>
      </c>
      <c r="K45" s="3"/>
    </row>
    <row r="46" spans="1:11" x14ac:dyDescent="0.25">
      <c r="A46" s="7">
        <v>27</v>
      </c>
      <c r="B46" s="28" t="s">
        <v>320</v>
      </c>
      <c r="C46" s="28"/>
      <c r="D46" s="28"/>
      <c r="E46" s="28"/>
      <c r="F46" s="28"/>
      <c r="G46" s="28"/>
      <c r="H46" s="28"/>
      <c r="I46" s="28"/>
      <c r="J46" s="7">
        <v>27</v>
      </c>
      <c r="K46" s="3"/>
    </row>
    <row r="47" spans="1:11" x14ac:dyDescent="0.25">
      <c r="A47" s="7">
        <v>28</v>
      </c>
      <c r="B47" s="28" t="s">
        <v>321</v>
      </c>
      <c r="C47" s="28"/>
      <c r="D47" s="28"/>
      <c r="E47" s="28"/>
      <c r="F47" s="28"/>
      <c r="G47" s="28"/>
      <c r="H47" s="28"/>
      <c r="I47" s="28"/>
      <c r="J47" s="7">
        <v>28</v>
      </c>
      <c r="K47" s="3"/>
    </row>
    <row r="48" spans="1:11" x14ac:dyDescent="0.25">
      <c r="A48" s="7">
        <v>29</v>
      </c>
      <c r="B48" s="28" t="s">
        <v>322</v>
      </c>
      <c r="C48" s="28"/>
      <c r="D48" s="28"/>
      <c r="E48" s="28"/>
      <c r="F48" s="28"/>
      <c r="G48" s="28"/>
      <c r="H48" s="28"/>
      <c r="I48" s="28"/>
      <c r="J48" s="7">
        <v>29</v>
      </c>
      <c r="K48" s="3"/>
    </row>
    <row r="49" spans="1:11" x14ac:dyDescent="0.25">
      <c r="A49" s="7">
        <v>30</v>
      </c>
      <c r="B49" s="42" t="s">
        <v>263</v>
      </c>
      <c r="C49" s="43"/>
      <c r="D49" s="43"/>
      <c r="E49" s="43"/>
      <c r="F49" s="43"/>
      <c r="G49" s="43"/>
      <c r="H49" s="43"/>
      <c r="I49" s="44"/>
      <c r="J49" s="27"/>
      <c r="K49" s="27"/>
    </row>
    <row r="50" spans="1:11" x14ac:dyDescent="0.25">
      <c r="A50" s="7"/>
      <c r="B50" s="7" t="s">
        <v>1</v>
      </c>
      <c r="C50" s="42" t="s">
        <v>323</v>
      </c>
      <c r="D50" s="43"/>
      <c r="E50" s="43"/>
      <c r="F50" s="43"/>
      <c r="G50" s="44"/>
      <c r="H50" s="7" t="s">
        <v>1</v>
      </c>
      <c r="I50" s="3"/>
      <c r="J50" s="27"/>
      <c r="K50" s="27"/>
    </row>
    <row r="51" spans="1:11" x14ac:dyDescent="0.25">
      <c r="A51" s="7"/>
      <c r="B51" s="7" t="s">
        <v>2</v>
      </c>
      <c r="C51" s="42" t="s">
        <v>324</v>
      </c>
      <c r="D51" s="43"/>
      <c r="E51" s="43"/>
      <c r="F51" s="43"/>
      <c r="G51" s="44"/>
      <c r="H51" s="7" t="s">
        <v>2</v>
      </c>
      <c r="I51" s="3"/>
      <c r="J51" s="27"/>
      <c r="K51" s="27"/>
    </row>
    <row r="52" spans="1:11" x14ac:dyDescent="0.25">
      <c r="A52" s="7"/>
      <c r="B52" s="7" t="s">
        <v>3</v>
      </c>
      <c r="C52" s="42" t="s">
        <v>325</v>
      </c>
      <c r="D52" s="43"/>
      <c r="E52" s="43"/>
      <c r="F52" s="43"/>
      <c r="G52" s="43"/>
      <c r="H52" s="43"/>
      <c r="I52" s="44"/>
      <c r="J52" s="7" t="s">
        <v>326</v>
      </c>
      <c r="K52" s="4">
        <f>SUM(I48:I51)</f>
        <v>0</v>
      </c>
    </row>
    <row r="53" spans="1:11" x14ac:dyDescent="0.25">
      <c r="A53" s="7">
        <v>31</v>
      </c>
      <c r="B53" s="42" t="s">
        <v>327</v>
      </c>
      <c r="C53" s="43"/>
      <c r="D53" s="43"/>
      <c r="E53" s="43"/>
      <c r="F53" s="43"/>
      <c r="G53" s="43"/>
      <c r="H53" s="43"/>
      <c r="I53" s="44"/>
      <c r="J53" s="27"/>
      <c r="K53" s="27"/>
    </row>
    <row r="54" spans="1:11" x14ac:dyDescent="0.25">
      <c r="A54" s="7"/>
      <c r="B54" s="7" t="s">
        <v>1</v>
      </c>
      <c r="C54" s="42" t="s">
        <v>323</v>
      </c>
      <c r="D54" s="43"/>
      <c r="E54" s="43"/>
      <c r="F54" s="43"/>
      <c r="G54" s="44"/>
      <c r="H54" s="7" t="s">
        <v>1</v>
      </c>
      <c r="I54" s="3"/>
      <c r="J54" s="27"/>
      <c r="K54" s="27"/>
    </row>
    <row r="55" spans="1:11" x14ac:dyDescent="0.25">
      <c r="A55" s="7"/>
      <c r="B55" s="7" t="s">
        <v>2</v>
      </c>
      <c r="C55" s="42" t="s">
        <v>324</v>
      </c>
      <c r="D55" s="43"/>
      <c r="E55" s="43"/>
      <c r="F55" s="43"/>
      <c r="G55" s="44"/>
      <c r="H55" s="7" t="s">
        <v>2</v>
      </c>
      <c r="I55" s="3"/>
      <c r="J55" s="27"/>
      <c r="K55" s="27"/>
    </row>
    <row r="56" spans="1:11" x14ac:dyDescent="0.25">
      <c r="A56" s="7"/>
      <c r="B56" s="7" t="s">
        <v>3</v>
      </c>
      <c r="C56" s="42" t="s">
        <v>325</v>
      </c>
      <c r="D56" s="43"/>
      <c r="E56" s="43"/>
      <c r="F56" s="43"/>
      <c r="G56" s="43"/>
      <c r="H56" s="43"/>
      <c r="I56" s="44"/>
      <c r="J56" s="7" t="s">
        <v>328</v>
      </c>
      <c r="K56" s="4">
        <f>SUM(I52:I55)</f>
        <v>0</v>
      </c>
    </row>
    <row r="57" spans="1:11" x14ac:dyDescent="0.25">
      <c r="A57" s="7">
        <v>32</v>
      </c>
      <c r="B57" s="42" t="s">
        <v>329</v>
      </c>
      <c r="C57" s="43"/>
      <c r="D57" s="43"/>
      <c r="E57" s="43"/>
      <c r="F57" s="43"/>
      <c r="G57" s="43"/>
      <c r="H57" s="43"/>
      <c r="I57" s="44"/>
      <c r="J57" s="27"/>
      <c r="K57" s="27"/>
    </row>
    <row r="58" spans="1:11" x14ac:dyDescent="0.25">
      <c r="A58" s="7"/>
      <c r="B58" s="7" t="s">
        <v>1</v>
      </c>
      <c r="C58" s="42" t="s">
        <v>323</v>
      </c>
      <c r="D58" s="43"/>
      <c r="E58" s="43"/>
      <c r="F58" s="43"/>
      <c r="G58" s="44"/>
      <c r="H58" s="7" t="s">
        <v>1</v>
      </c>
      <c r="I58" s="3"/>
      <c r="J58" s="27"/>
      <c r="K58" s="27"/>
    </row>
    <row r="59" spans="1:11" x14ac:dyDescent="0.25">
      <c r="A59" s="7"/>
      <c r="B59" s="7" t="s">
        <v>2</v>
      </c>
      <c r="C59" s="42" t="s">
        <v>324</v>
      </c>
      <c r="D59" s="43"/>
      <c r="E59" s="43"/>
      <c r="F59" s="43"/>
      <c r="G59" s="44"/>
      <c r="H59" s="7" t="s">
        <v>2</v>
      </c>
      <c r="I59" s="3"/>
      <c r="J59" s="27"/>
      <c r="K59" s="27"/>
    </row>
    <row r="60" spans="1:11" x14ac:dyDescent="0.25">
      <c r="A60" s="7"/>
      <c r="B60" s="7" t="s">
        <v>3</v>
      </c>
      <c r="C60" s="42" t="s">
        <v>325</v>
      </c>
      <c r="D60" s="43"/>
      <c r="E60" s="43"/>
      <c r="F60" s="43"/>
      <c r="G60" s="43"/>
      <c r="H60" s="43"/>
      <c r="I60" s="44"/>
      <c r="J60" s="7" t="s">
        <v>330</v>
      </c>
      <c r="K60" s="4">
        <f>SUM(I56:I59)</f>
        <v>0</v>
      </c>
    </row>
    <row r="61" spans="1:11" x14ac:dyDescent="0.25">
      <c r="A61" s="7">
        <v>33</v>
      </c>
      <c r="B61" s="28" t="s">
        <v>331</v>
      </c>
      <c r="C61" s="28"/>
      <c r="D61" s="28"/>
      <c r="E61" s="28"/>
      <c r="F61" s="28"/>
      <c r="G61" s="28"/>
      <c r="H61" s="28"/>
      <c r="I61" s="28"/>
      <c r="J61" s="7">
        <v>33</v>
      </c>
      <c r="K61" s="3"/>
    </row>
    <row r="62" spans="1:11" x14ac:dyDescent="0.25">
      <c r="A62" s="7">
        <v>34</v>
      </c>
      <c r="B62" s="28" t="s">
        <v>332</v>
      </c>
      <c r="C62" s="28"/>
      <c r="D62" s="28"/>
      <c r="E62" s="28"/>
      <c r="F62" s="28"/>
      <c r="G62" s="28"/>
      <c r="H62" s="28"/>
      <c r="I62" s="28"/>
      <c r="J62" s="7">
        <v>34</v>
      </c>
      <c r="K62" s="3"/>
    </row>
    <row r="63" spans="1:11" x14ac:dyDescent="0.25">
      <c r="A63" s="7">
        <v>35</v>
      </c>
      <c r="B63" s="28" t="s">
        <v>333</v>
      </c>
      <c r="C63" s="28"/>
      <c r="D63" s="28"/>
      <c r="E63" s="28"/>
      <c r="F63" s="28"/>
      <c r="G63" s="28"/>
      <c r="H63" s="28"/>
      <c r="I63" s="28"/>
      <c r="J63" s="7">
        <v>35</v>
      </c>
      <c r="K63" s="3"/>
    </row>
    <row r="64" spans="1:11" x14ac:dyDescent="0.25">
      <c r="A64" s="7">
        <v>36</v>
      </c>
      <c r="B64" s="28" t="s">
        <v>334</v>
      </c>
      <c r="C64" s="28"/>
      <c r="D64" s="28"/>
      <c r="E64" s="28"/>
      <c r="F64" s="28"/>
      <c r="G64" s="28"/>
      <c r="H64" s="28"/>
      <c r="I64" s="28"/>
      <c r="J64" s="7">
        <v>36</v>
      </c>
      <c r="K64" s="3"/>
    </row>
    <row r="65" spans="1:11" x14ac:dyDescent="0.25">
      <c r="A65" s="7">
        <v>37</v>
      </c>
      <c r="B65" s="28" t="s">
        <v>335</v>
      </c>
      <c r="C65" s="28"/>
      <c r="D65" s="28"/>
      <c r="E65" s="28"/>
      <c r="F65" s="28"/>
      <c r="G65" s="28"/>
      <c r="H65" s="28"/>
      <c r="I65" s="28"/>
      <c r="J65" s="7">
        <v>37</v>
      </c>
      <c r="K65" s="3"/>
    </row>
    <row r="66" spans="1:11" x14ac:dyDescent="0.25">
      <c r="A66" s="7">
        <v>38</v>
      </c>
      <c r="B66" s="28" t="s">
        <v>336</v>
      </c>
      <c r="C66" s="28"/>
      <c r="D66" s="28"/>
      <c r="E66" s="28"/>
      <c r="F66" s="28"/>
      <c r="G66" s="28"/>
      <c r="H66" s="28"/>
      <c r="I66" s="28"/>
      <c r="J66" s="7">
        <v>38</v>
      </c>
      <c r="K66" s="3"/>
    </row>
    <row r="67" spans="1:11" x14ac:dyDescent="0.25">
      <c r="A67" s="7">
        <v>39</v>
      </c>
      <c r="B67" s="28" t="s">
        <v>337</v>
      </c>
      <c r="C67" s="28"/>
      <c r="D67" s="28"/>
      <c r="E67" s="28"/>
      <c r="F67" s="28"/>
      <c r="G67" s="28"/>
      <c r="H67" s="28"/>
      <c r="I67" s="28"/>
      <c r="J67" s="7">
        <v>39</v>
      </c>
      <c r="K67" s="3"/>
    </row>
    <row r="68" spans="1:11" x14ac:dyDescent="0.25">
      <c r="A68" s="7">
        <v>40</v>
      </c>
      <c r="B68" s="28" t="s">
        <v>338</v>
      </c>
      <c r="C68" s="28"/>
      <c r="D68" s="28"/>
      <c r="E68" s="28"/>
      <c r="F68" s="28"/>
      <c r="G68" s="28"/>
      <c r="H68" s="28"/>
      <c r="I68" s="28"/>
      <c r="J68" s="7">
        <v>40</v>
      </c>
      <c r="K68" s="3"/>
    </row>
    <row r="69" spans="1:11" x14ac:dyDescent="0.25">
      <c r="A69" s="7">
        <v>41</v>
      </c>
      <c r="B69" s="28" t="s">
        <v>339</v>
      </c>
      <c r="C69" s="28"/>
      <c r="D69" s="28"/>
      <c r="E69" s="28"/>
      <c r="F69" s="28"/>
      <c r="G69" s="28"/>
      <c r="H69" s="28"/>
      <c r="I69" s="28"/>
      <c r="J69" s="7">
        <v>41</v>
      </c>
      <c r="K69" s="3"/>
    </row>
    <row r="70" spans="1:11" x14ac:dyDescent="0.25">
      <c r="A70" s="7">
        <v>42</v>
      </c>
      <c r="B70" s="28" t="s">
        <v>340</v>
      </c>
      <c r="C70" s="28"/>
      <c r="D70" s="28"/>
      <c r="E70" s="28"/>
      <c r="F70" s="28"/>
      <c r="G70" s="28"/>
      <c r="H70" s="28"/>
      <c r="I70" s="28"/>
      <c r="J70" s="7">
        <v>42</v>
      </c>
      <c r="K70" s="3"/>
    </row>
    <row r="71" spans="1:11" x14ac:dyDescent="0.25">
      <c r="A71" s="7">
        <v>43</v>
      </c>
      <c r="B71" s="28" t="s">
        <v>341</v>
      </c>
      <c r="C71" s="28"/>
      <c r="D71" s="28"/>
      <c r="E71" s="28"/>
      <c r="F71" s="28"/>
      <c r="G71" s="28"/>
      <c r="H71" s="28"/>
      <c r="I71" s="28"/>
      <c r="J71" s="7">
        <v>43</v>
      </c>
      <c r="K71" s="3"/>
    </row>
    <row r="72" spans="1:11" x14ac:dyDescent="0.25">
      <c r="A72" s="7">
        <v>44</v>
      </c>
      <c r="B72" s="42" t="s">
        <v>342</v>
      </c>
      <c r="C72" s="43"/>
      <c r="D72" s="43"/>
      <c r="E72" s="43"/>
      <c r="F72" s="43"/>
      <c r="G72" s="43"/>
      <c r="H72" s="43"/>
      <c r="I72" s="44"/>
      <c r="J72" s="27"/>
      <c r="K72" s="27"/>
    </row>
    <row r="73" spans="1:11" x14ac:dyDescent="0.25">
      <c r="A73" s="7"/>
      <c r="B73" s="7" t="s">
        <v>1</v>
      </c>
      <c r="C73" s="42" t="s">
        <v>236</v>
      </c>
      <c r="D73" s="43"/>
      <c r="E73" s="43"/>
      <c r="F73" s="43"/>
      <c r="G73" s="44"/>
      <c r="H73" s="7" t="s">
        <v>343</v>
      </c>
      <c r="I73" s="3"/>
      <c r="J73" s="27"/>
      <c r="K73" s="27"/>
    </row>
    <row r="74" spans="1:11" x14ac:dyDescent="0.25">
      <c r="A74" s="7"/>
      <c r="B74" s="7" t="s">
        <v>2</v>
      </c>
      <c r="C74" s="42" t="s">
        <v>209</v>
      </c>
      <c r="D74" s="43"/>
      <c r="E74" s="43"/>
      <c r="F74" s="43"/>
      <c r="G74" s="44"/>
      <c r="H74" s="7" t="s">
        <v>344</v>
      </c>
      <c r="I74" s="3"/>
      <c r="J74" s="27"/>
      <c r="K74" s="27"/>
    </row>
    <row r="75" spans="1:11" x14ac:dyDescent="0.25">
      <c r="A75" s="7"/>
      <c r="B75" s="7" t="s">
        <v>3</v>
      </c>
      <c r="C75" s="42" t="s">
        <v>210</v>
      </c>
      <c r="D75" s="43"/>
      <c r="E75" s="43"/>
      <c r="F75" s="43"/>
      <c r="G75" s="44"/>
      <c r="H75" s="7" t="s">
        <v>345</v>
      </c>
      <c r="I75" s="3"/>
      <c r="J75" s="27"/>
      <c r="K75" s="27"/>
    </row>
    <row r="76" spans="1:11" x14ac:dyDescent="0.25">
      <c r="A76" s="7"/>
      <c r="B76" s="7" t="s">
        <v>4</v>
      </c>
      <c r="C76" s="42" t="s">
        <v>346</v>
      </c>
      <c r="D76" s="43"/>
      <c r="E76" s="43"/>
      <c r="F76" s="43"/>
      <c r="G76" s="44"/>
      <c r="H76" s="7" t="s">
        <v>347</v>
      </c>
      <c r="I76" s="3"/>
      <c r="J76" s="27"/>
      <c r="K76" s="27"/>
    </row>
    <row r="77" spans="1:11" x14ac:dyDescent="0.25">
      <c r="A77" s="7"/>
      <c r="B77" s="7" t="s">
        <v>7</v>
      </c>
      <c r="C77" s="42" t="s">
        <v>211</v>
      </c>
      <c r="D77" s="43"/>
      <c r="E77" s="43"/>
      <c r="F77" s="43"/>
      <c r="G77" s="44"/>
      <c r="H77" s="7" t="s">
        <v>348</v>
      </c>
      <c r="I77" s="3"/>
      <c r="J77" s="27"/>
      <c r="K77" s="27"/>
    </row>
    <row r="78" spans="1:11" x14ac:dyDescent="0.25">
      <c r="A78" s="7"/>
      <c r="B78" s="7" t="s">
        <v>8</v>
      </c>
      <c r="C78" s="42" t="s">
        <v>212</v>
      </c>
      <c r="D78" s="43"/>
      <c r="E78" s="43"/>
      <c r="F78" s="43"/>
      <c r="G78" s="44"/>
      <c r="H78" s="7" t="s">
        <v>349</v>
      </c>
      <c r="I78" s="3"/>
      <c r="J78" s="27"/>
      <c r="K78" s="27"/>
    </row>
    <row r="79" spans="1:11" x14ac:dyDescent="0.25">
      <c r="A79" s="7"/>
      <c r="B79" s="7" t="s">
        <v>9</v>
      </c>
      <c r="C79" s="42" t="s">
        <v>213</v>
      </c>
      <c r="D79" s="43"/>
      <c r="E79" s="43"/>
      <c r="F79" s="43"/>
      <c r="G79" s="44"/>
      <c r="H79" s="7" t="s">
        <v>350</v>
      </c>
      <c r="I79" s="3"/>
      <c r="J79" s="27"/>
      <c r="K79" s="27"/>
    </row>
    <row r="80" spans="1:11" x14ac:dyDescent="0.25">
      <c r="A80" s="7"/>
      <c r="B80" s="7" t="s">
        <v>13</v>
      </c>
      <c r="C80" s="42" t="s">
        <v>214</v>
      </c>
      <c r="D80" s="43"/>
      <c r="E80" s="43"/>
      <c r="F80" s="43"/>
      <c r="G80" s="44"/>
      <c r="H80" s="7" t="s">
        <v>351</v>
      </c>
      <c r="I80" s="3"/>
      <c r="J80" s="27"/>
      <c r="K80" s="27"/>
    </row>
    <row r="81" spans="1:11" x14ac:dyDescent="0.25">
      <c r="A81" s="7"/>
      <c r="B81" s="7" t="s">
        <v>216</v>
      </c>
      <c r="C81" s="42" t="s">
        <v>352</v>
      </c>
      <c r="D81" s="43"/>
      <c r="E81" s="43"/>
      <c r="F81" s="43"/>
      <c r="G81" s="44"/>
      <c r="H81" s="7" t="s">
        <v>353</v>
      </c>
      <c r="I81" s="3"/>
      <c r="J81" s="27"/>
      <c r="K81" s="27"/>
    </row>
    <row r="82" spans="1:11" x14ac:dyDescent="0.25">
      <c r="A82" s="7"/>
      <c r="B82" s="7" t="s">
        <v>243</v>
      </c>
      <c r="C82" s="42" t="s">
        <v>354</v>
      </c>
      <c r="D82" s="43"/>
      <c r="E82" s="43"/>
      <c r="F82" s="43"/>
      <c r="G82" s="43"/>
      <c r="H82" s="43"/>
      <c r="I82" s="44"/>
      <c r="J82" s="7" t="s">
        <v>355</v>
      </c>
      <c r="K82" s="4">
        <f>SUM(I73:I81)</f>
        <v>0</v>
      </c>
    </row>
    <row r="83" spans="1:11" x14ac:dyDescent="0.25">
      <c r="A83" s="7">
        <v>45</v>
      </c>
      <c r="B83" s="28" t="s">
        <v>356</v>
      </c>
      <c r="C83" s="28"/>
      <c r="D83" s="28"/>
      <c r="E83" s="28"/>
      <c r="F83" s="28"/>
      <c r="G83" s="28"/>
      <c r="H83" s="28"/>
      <c r="I83" s="28"/>
      <c r="J83" s="7">
        <v>45</v>
      </c>
      <c r="K83" s="3"/>
    </row>
    <row r="84" spans="1:11" x14ac:dyDescent="0.25">
      <c r="A84" s="7">
        <v>46</v>
      </c>
      <c r="B84" s="28" t="s">
        <v>386</v>
      </c>
      <c r="C84" s="28"/>
      <c r="D84" s="28"/>
      <c r="E84" s="28"/>
      <c r="F84" s="28"/>
      <c r="G84" s="28"/>
      <c r="H84" s="28"/>
      <c r="I84" s="28"/>
      <c r="J84" s="7">
        <v>46</v>
      </c>
      <c r="K84" s="3"/>
    </row>
    <row r="85" spans="1:11" x14ac:dyDescent="0.25">
      <c r="A85" s="7">
        <v>47</v>
      </c>
      <c r="B85" s="28" t="s">
        <v>357</v>
      </c>
      <c r="C85" s="28"/>
      <c r="D85" s="28"/>
      <c r="E85" s="28"/>
      <c r="F85" s="28"/>
      <c r="G85" s="28"/>
      <c r="H85" s="28"/>
      <c r="I85" s="28"/>
      <c r="J85" s="7">
        <v>47</v>
      </c>
      <c r="K85" s="13">
        <f>SUM('P&amp;L Other Details'!E3:E50)</f>
        <v>0</v>
      </c>
    </row>
    <row r="86" spans="1:11" x14ac:dyDescent="0.25">
      <c r="A86" s="7">
        <v>48</v>
      </c>
      <c r="B86" s="42" t="s">
        <v>358</v>
      </c>
      <c r="C86" s="43"/>
      <c r="D86" s="43"/>
      <c r="E86" s="43"/>
      <c r="F86" s="43"/>
      <c r="G86" s="43"/>
      <c r="H86" s="43"/>
      <c r="I86" s="44"/>
      <c r="J86" s="27"/>
      <c r="K86" s="27"/>
    </row>
    <row r="87" spans="1:11" x14ac:dyDescent="0.25">
      <c r="A87" s="7"/>
      <c r="B87" s="7" t="s">
        <v>1</v>
      </c>
      <c r="C87" s="42" t="s">
        <v>359</v>
      </c>
      <c r="D87" s="43"/>
      <c r="E87" s="43"/>
      <c r="F87" s="43"/>
      <c r="G87" s="44"/>
      <c r="H87" s="7" t="s">
        <v>387</v>
      </c>
      <c r="I87" s="13">
        <f>SUM('P&amp;L Other Details'!I3:I50)</f>
        <v>0</v>
      </c>
      <c r="J87" s="27"/>
      <c r="K87" s="27"/>
    </row>
    <row r="88" spans="1:11" x14ac:dyDescent="0.25">
      <c r="A88" s="7"/>
      <c r="B88" s="7" t="s">
        <v>2</v>
      </c>
      <c r="C88" s="42" t="s">
        <v>360</v>
      </c>
      <c r="D88" s="43"/>
      <c r="E88" s="43"/>
      <c r="F88" s="43"/>
      <c r="G88" s="44"/>
      <c r="H88" s="7" t="s">
        <v>388</v>
      </c>
      <c r="I88" s="13">
        <f>SUM('P&amp;L Other Details'!T3:T50)</f>
        <v>0</v>
      </c>
      <c r="J88" s="27"/>
      <c r="K88" s="27"/>
    </row>
    <row r="89" spans="1:11" x14ac:dyDescent="0.25">
      <c r="A89" s="7"/>
      <c r="B89" s="7" t="s">
        <v>3</v>
      </c>
      <c r="C89" s="42" t="s">
        <v>361</v>
      </c>
      <c r="D89" s="43"/>
      <c r="E89" s="43"/>
      <c r="F89" s="43"/>
      <c r="G89" s="44"/>
      <c r="H89" s="7" t="s">
        <v>389</v>
      </c>
      <c r="I89" s="13">
        <f>SUM('P&amp;L Other Details'!W3:W50)</f>
        <v>0</v>
      </c>
      <c r="J89" s="27"/>
      <c r="K89" s="27"/>
    </row>
    <row r="90" spans="1:11" x14ac:dyDescent="0.25">
      <c r="A90" s="7"/>
      <c r="B90" s="7" t="s">
        <v>4</v>
      </c>
      <c r="C90" s="42" t="s">
        <v>362</v>
      </c>
      <c r="D90" s="43"/>
      <c r="E90" s="43"/>
      <c r="F90" s="43"/>
      <c r="G90" s="43"/>
      <c r="H90" s="43"/>
      <c r="I90" s="44"/>
      <c r="J90" s="7" t="s">
        <v>390</v>
      </c>
      <c r="K90" s="4">
        <f>SUM(I87:I89)</f>
        <v>0</v>
      </c>
    </row>
    <row r="91" spans="1:11" x14ac:dyDescent="0.25">
      <c r="A91" s="7">
        <v>49</v>
      </c>
      <c r="B91" s="28" t="s">
        <v>363</v>
      </c>
      <c r="C91" s="28"/>
      <c r="D91" s="28"/>
      <c r="E91" s="28"/>
      <c r="F91" s="28"/>
      <c r="G91" s="28"/>
      <c r="H91" s="28"/>
      <c r="I91" s="28"/>
      <c r="J91" s="7">
        <v>49</v>
      </c>
      <c r="K91" s="3"/>
    </row>
    <row r="92" spans="1:11" x14ac:dyDescent="0.25">
      <c r="A92" s="7">
        <v>40</v>
      </c>
      <c r="B92" s="28" t="s">
        <v>364</v>
      </c>
      <c r="C92" s="28"/>
      <c r="D92" s="28"/>
      <c r="E92" s="28"/>
      <c r="F92" s="28"/>
      <c r="G92" s="28"/>
      <c r="H92" s="28"/>
      <c r="I92" s="28"/>
      <c r="J92" s="7">
        <v>50</v>
      </c>
      <c r="K92" s="3"/>
    </row>
    <row r="93" spans="1:11" x14ac:dyDescent="0.25">
      <c r="A93" s="7">
        <v>51</v>
      </c>
      <c r="B93" s="28" t="s">
        <v>391</v>
      </c>
      <c r="C93" s="28"/>
      <c r="D93" s="28"/>
      <c r="E93" s="28"/>
      <c r="F93" s="28"/>
      <c r="G93" s="28"/>
      <c r="H93" s="28"/>
      <c r="I93" s="28"/>
      <c r="J93" s="7">
        <v>51</v>
      </c>
      <c r="K93" s="4">
        <f>K16-SUM(K18:K23,K35,K42:K48,K52,K56,K60:K71,K82:K85,K90:K92)</f>
        <v>0</v>
      </c>
    </row>
    <row r="94" spans="1:11" x14ac:dyDescent="0.25">
      <c r="A94" s="7">
        <v>52</v>
      </c>
      <c r="B94" s="42" t="s">
        <v>365</v>
      </c>
      <c r="C94" s="43"/>
      <c r="D94" s="43"/>
      <c r="E94" s="43"/>
      <c r="F94" s="43"/>
      <c r="G94" s="43"/>
      <c r="H94" s="43"/>
      <c r="I94" s="44"/>
      <c r="J94" s="27"/>
      <c r="K94" s="27"/>
    </row>
    <row r="95" spans="1:11" x14ac:dyDescent="0.25">
      <c r="A95" s="7"/>
      <c r="B95" s="7" t="s">
        <v>1</v>
      </c>
      <c r="C95" s="42" t="s">
        <v>323</v>
      </c>
      <c r="D95" s="43"/>
      <c r="E95" s="43"/>
      <c r="F95" s="43"/>
      <c r="G95" s="43"/>
      <c r="H95" s="43"/>
      <c r="I95" s="44"/>
      <c r="J95" s="27"/>
      <c r="K95" s="27"/>
    </row>
    <row r="96" spans="1:11" x14ac:dyDescent="0.25">
      <c r="A96" s="7"/>
      <c r="B96" s="7"/>
      <c r="C96" s="16" t="s">
        <v>10</v>
      </c>
      <c r="D96" s="43" t="s">
        <v>395</v>
      </c>
      <c r="E96" s="43"/>
      <c r="F96" s="43"/>
      <c r="G96" s="44"/>
      <c r="H96" s="7" t="s">
        <v>10</v>
      </c>
      <c r="I96" s="3"/>
      <c r="J96" s="27"/>
      <c r="K96" s="27"/>
    </row>
    <row r="97" spans="1:11" x14ac:dyDescent="0.25">
      <c r="A97" s="7"/>
      <c r="B97" s="7"/>
      <c r="C97" s="16" t="s">
        <v>11</v>
      </c>
      <c r="D97" s="43" t="s">
        <v>396</v>
      </c>
      <c r="E97" s="43"/>
      <c r="F97" s="43"/>
      <c r="G97" s="44"/>
      <c r="H97" s="7" t="s">
        <v>11</v>
      </c>
      <c r="I97" s="3"/>
      <c r="J97" s="27"/>
      <c r="K97" s="27"/>
    </row>
    <row r="98" spans="1:11" x14ac:dyDescent="0.25">
      <c r="A98" s="7"/>
      <c r="B98" s="7" t="s">
        <v>2</v>
      </c>
      <c r="C98" s="42" t="s">
        <v>397</v>
      </c>
      <c r="D98" s="43"/>
      <c r="E98" s="43"/>
      <c r="F98" s="43"/>
      <c r="G98" s="43"/>
      <c r="H98" s="43"/>
      <c r="I98" s="44"/>
      <c r="J98" s="27"/>
      <c r="K98" s="27"/>
    </row>
    <row r="99" spans="1:11" x14ac:dyDescent="0.25">
      <c r="A99" s="7"/>
      <c r="B99" s="7"/>
      <c r="C99" s="16" t="s">
        <v>10</v>
      </c>
      <c r="D99" s="43" t="s">
        <v>395</v>
      </c>
      <c r="E99" s="43"/>
      <c r="F99" s="43"/>
      <c r="G99" s="44"/>
      <c r="H99" s="7" t="s">
        <v>10</v>
      </c>
      <c r="I99" s="3"/>
      <c r="J99" s="27"/>
      <c r="K99" s="27"/>
    </row>
    <row r="100" spans="1:11" x14ac:dyDescent="0.25">
      <c r="A100" s="7"/>
      <c r="B100" s="7"/>
      <c r="C100" s="16" t="s">
        <v>11</v>
      </c>
      <c r="D100" s="43" t="s">
        <v>396</v>
      </c>
      <c r="E100" s="43"/>
      <c r="F100" s="43"/>
      <c r="G100" s="44"/>
      <c r="H100" s="7" t="s">
        <v>11</v>
      </c>
      <c r="I100" s="3"/>
      <c r="J100" s="27"/>
      <c r="K100" s="27"/>
    </row>
    <row r="101" spans="1:11" x14ac:dyDescent="0.25">
      <c r="A101" s="7"/>
      <c r="B101" s="7" t="s">
        <v>3</v>
      </c>
      <c r="C101" s="42" t="s">
        <v>398</v>
      </c>
      <c r="D101" s="43"/>
      <c r="E101" s="43"/>
      <c r="F101" s="43"/>
      <c r="G101" s="43"/>
      <c r="H101" s="43"/>
      <c r="I101" s="44"/>
      <c r="J101" s="7" t="s">
        <v>392</v>
      </c>
      <c r="K101" s="4">
        <f>SUM(I96:I97,I99:I100)</f>
        <v>0</v>
      </c>
    </row>
    <row r="102" spans="1:11" x14ac:dyDescent="0.25">
      <c r="A102" s="7">
        <v>53</v>
      </c>
      <c r="B102" s="28" t="s">
        <v>366</v>
      </c>
      <c r="C102" s="28"/>
      <c r="D102" s="28"/>
      <c r="E102" s="28"/>
      <c r="F102" s="28"/>
      <c r="G102" s="28"/>
      <c r="H102" s="28"/>
      <c r="I102" s="28"/>
      <c r="J102" s="7">
        <v>53</v>
      </c>
      <c r="K102" s="3"/>
    </row>
    <row r="103" spans="1:11" x14ac:dyDescent="0.25">
      <c r="A103" s="7">
        <v>54</v>
      </c>
      <c r="B103" s="28" t="s">
        <v>399</v>
      </c>
      <c r="C103" s="28"/>
      <c r="D103" s="28"/>
      <c r="E103" s="28"/>
      <c r="F103" s="28"/>
      <c r="G103" s="28"/>
      <c r="H103" s="28"/>
      <c r="I103" s="28"/>
      <c r="J103" s="7">
        <v>54</v>
      </c>
      <c r="K103" s="4">
        <f>K93-K101-K102</f>
        <v>0</v>
      </c>
    </row>
    <row r="104" spans="1:11" x14ac:dyDescent="0.25">
      <c r="A104" s="38" t="s">
        <v>367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</row>
    <row r="105" spans="1:11" x14ac:dyDescent="0.25">
      <c r="A105" s="7">
        <v>55</v>
      </c>
      <c r="B105" s="28" t="s">
        <v>368</v>
      </c>
      <c r="C105" s="28"/>
      <c r="D105" s="28"/>
      <c r="E105" s="28"/>
      <c r="F105" s="28"/>
      <c r="G105" s="28"/>
      <c r="H105" s="28"/>
      <c r="I105" s="28"/>
      <c r="J105" s="7">
        <v>55</v>
      </c>
      <c r="K105" s="3"/>
    </row>
    <row r="106" spans="1:11" x14ac:dyDescent="0.25">
      <c r="A106" s="7">
        <v>56</v>
      </c>
      <c r="B106" s="28" t="s">
        <v>369</v>
      </c>
      <c r="C106" s="28"/>
      <c r="D106" s="28"/>
      <c r="E106" s="28"/>
      <c r="F106" s="28"/>
      <c r="G106" s="28"/>
      <c r="H106" s="28"/>
      <c r="I106" s="28"/>
      <c r="J106" s="7">
        <v>56</v>
      </c>
      <c r="K106" s="3"/>
    </row>
    <row r="107" spans="1:11" x14ac:dyDescent="0.25">
      <c r="A107" s="7">
        <v>57</v>
      </c>
      <c r="B107" s="28" t="s">
        <v>393</v>
      </c>
      <c r="C107" s="28"/>
      <c r="D107" s="28"/>
      <c r="E107" s="28"/>
      <c r="F107" s="28"/>
      <c r="G107" s="28"/>
      <c r="H107" s="28"/>
      <c r="I107" s="28"/>
      <c r="J107" s="7">
        <v>57</v>
      </c>
      <c r="K107" s="4">
        <f>K103-K105-K106</f>
        <v>0</v>
      </c>
    </row>
    <row r="108" spans="1:11" x14ac:dyDescent="0.25">
      <c r="A108" s="7">
        <v>58</v>
      </c>
      <c r="B108" s="28" t="s">
        <v>370</v>
      </c>
      <c r="C108" s="28"/>
      <c r="D108" s="28"/>
      <c r="E108" s="28"/>
      <c r="F108" s="28"/>
      <c r="G108" s="28"/>
      <c r="H108" s="28"/>
      <c r="I108" s="28"/>
      <c r="J108" s="7">
        <v>58</v>
      </c>
      <c r="K108" s="3"/>
    </row>
    <row r="109" spans="1:11" x14ac:dyDescent="0.25">
      <c r="A109" s="7">
        <v>59</v>
      </c>
      <c r="B109" s="28" t="s">
        <v>371</v>
      </c>
      <c r="C109" s="28"/>
      <c r="D109" s="28"/>
      <c r="E109" s="28"/>
      <c r="F109" s="28"/>
      <c r="G109" s="28"/>
      <c r="H109" s="28"/>
      <c r="I109" s="28"/>
      <c r="J109" s="7">
        <v>59</v>
      </c>
      <c r="K109" s="4">
        <f>K107+K108</f>
        <v>0</v>
      </c>
    </row>
    <row r="110" spans="1:11" x14ac:dyDescent="0.25">
      <c r="A110" s="7">
        <v>60</v>
      </c>
      <c r="B110" s="42" t="s">
        <v>372</v>
      </c>
      <c r="C110" s="43"/>
      <c r="D110" s="43"/>
      <c r="E110" s="43"/>
      <c r="F110" s="43"/>
      <c r="G110" s="43"/>
      <c r="H110" s="43"/>
      <c r="I110" s="44"/>
      <c r="J110" s="7">
        <v>60</v>
      </c>
      <c r="K110" s="3"/>
    </row>
    <row r="111" spans="1:11" x14ac:dyDescent="0.25">
      <c r="A111" s="7">
        <v>60</v>
      </c>
      <c r="B111" s="28" t="s">
        <v>394</v>
      </c>
      <c r="C111" s="28"/>
      <c r="D111" s="28"/>
      <c r="E111" s="28"/>
      <c r="F111" s="28"/>
      <c r="G111" s="28"/>
      <c r="H111" s="28"/>
      <c r="I111" s="28"/>
      <c r="J111" s="7">
        <v>60</v>
      </c>
      <c r="K111" s="4">
        <f>K109-K110</f>
        <v>0</v>
      </c>
    </row>
  </sheetData>
  <sheetProtection sheet="1" objects="1" scenarios="1"/>
  <mergeCells count="170">
    <mergeCell ref="C98:I98"/>
    <mergeCell ref="J98:K98"/>
    <mergeCell ref="D99:G99"/>
    <mergeCell ref="J99:K99"/>
    <mergeCell ref="D100:G100"/>
    <mergeCell ref="J100:K100"/>
    <mergeCell ref="B111:I111"/>
    <mergeCell ref="B107:I107"/>
    <mergeCell ref="B108:I108"/>
    <mergeCell ref="B109:I109"/>
    <mergeCell ref="C101:I101"/>
    <mergeCell ref="B102:I102"/>
    <mergeCell ref="B103:I103"/>
    <mergeCell ref="A104:K104"/>
    <mergeCell ref="B105:I105"/>
    <mergeCell ref="B106:I106"/>
    <mergeCell ref="B110:I110"/>
    <mergeCell ref="B94:I94"/>
    <mergeCell ref="J94:K94"/>
    <mergeCell ref="J95:K95"/>
    <mergeCell ref="J97:K97"/>
    <mergeCell ref="C89:G89"/>
    <mergeCell ref="J89:K89"/>
    <mergeCell ref="C90:I90"/>
    <mergeCell ref="B91:I91"/>
    <mergeCell ref="B92:I92"/>
    <mergeCell ref="B93:I93"/>
    <mergeCell ref="D96:G96"/>
    <mergeCell ref="C95:I95"/>
    <mergeCell ref="D97:G97"/>
    <mergeCell ref="J96:K96"/>
    <mergeCell ref="B85:I85"/>
    <mergeCell ref="B86:I86"/>
    <mergeCell ref="J86:K86"/>
    <mergeCell ref="C87:G87"/>
    <mergeCell ref="J87:K87"/>
    <mergeCell ref="C88:G88"/>
    <mergeCell ref="J88:K88"/>
    <mergeCell ref="C80:G80"/>
    <mergeCell ref="J80:K80"/>
    <mergeCell ref="C81:G81"/>
    <mergeCell ref="J81:K81"/>
    <mergeCell ref="C82:I82"/>
    <mergeCell ref="B83:I83"/>
    <mergeCell ref="B84:I84"/>
    <mergeCell ref="C77:G77"/>
    <mergeCell ref="J77:K77"/>
    <mergeCell ref="C78:G78"/>
    <mergeCell ref="J78:K78"/>
    <mergeCell ref="C79:G79"/>
    <mergeCell ref="J79:K79"/>
    <mergeCell ref="C74:G74"/>
    <mergeCell ref="J74:K74"/>
    <mergeCell ref="C75:G75"/>
    <mergeCell ref="J75:K75"/>
    <mergeCell ref="C76:G76"/>
    <mergeCell ref="J76:K76"/>
    <mergeCell ref="B70:I70"/>
    <mergeCell ref="B71:I71"/>
    <mergeCell ref="B72:I72"/>
    <mergeCell ref="J72:K72"/>
    <mergeCell ref="C73:G73"/>
    <mergeCell ref="J73:K73"/>
    <mergeCell ref="B64:I64"/>
    <mergeCell ref="B65:I65"/>
    <mergeCell ref="B66:I66"/>
    <mergeCell ref="B67:I67"/>
    <mergeCell ref="B68:I68"/>
    <mergeCell ref="B69:I69"/>
    <mergeCell ref="C59:G59"/>
    <mergeCell ref="J59:K59"/>
    <mergeCell ref="C60:I60"/>
    <mergeCell ref="B61:I61"/>
    <mergeCell ref="B62:I62"/>
    <mergeCell ref="B63:I63"/>
    <mergeCell ref="C55:G55"/>
    <mergeCell ref="J55:K55"/>
    <mergeCell ref="C56:I56"/>
    <mergeCell ref="B57:I57"/>
    <mergeCell ref="J57:K57"/>
    <mergeCell ref="C58:G58"/>
    <mergeCell ref="J58:K58"/>
    <mergeCell ref="C51:G51"/>
    <mergeCell ref="J51:K51"/>
    <mergeCell ref="C52:I52"/>
    <mergeCell ref="B53:I53"/>
    <mergeCell ref="J53:K53"/>
    <mergeCell ref="C54:G54"/>
    <mergeCell ref="J54:K54"/>
    <mergeCell ref="B46:I46"/>
    <mergeCell ref="B47:I47"/>
    <mergeCell ref="B48:I48"/>
    <mergeCell ref="B49:I49"/>
    <mergeCell ref="J49:K49"/>
    <mergeCell ref="C50:G50"/>
    <mergeCell ref="J50:K50"/>
    <mergeCell ref="C41:G41"/>
    <mergeCell ref="J41:K41"/>
    <mergeCell ref="C42:I42"/>
    <mergeCell ref="B43:I43"/>
    <mergeCell ref="B44:I44"/>
    <mergeCell ref="B45:I45"/>
    <mergeCell ref="C38:G38"/>
    <mergeCell ref="J38:K38"/>
    <mergeCell ref="C39:G39"/>
    <mergeCell ref="J39:K39"/>
    <mergeCell ref="C40:G40"/>
    <mergeCell ref="J40:K40"/>
    <mergeCell ref="C34:G34"/>
    <mergeCell ref="J34:K34"/>
    <mergeCell ref="C35:I35"/>
    <mergeCell ref="C36:G36"/>
    <mergeCell ref="J36:K36"/>
    <mergeCell ref="B37:I37"/>
    <mergeCell ref="J37:K37"/>
    <mergeCell ref="C31:G31"/>
    <mergeCell ref="J31:K31"/>
    <mergeCell ref="C32:G32"/>
    <mergeCell ref="J32:K32"/>
    <mergeCell ref="C33:G33"/>
    <mergeCell ref="J33:K33"/>
    <mergeCell ref="C28:G28"/>
    <mergeCell ref="J28:K28"/>
    <mergeCell ref="C29:G29"/>
    <mergeCell ref="J29:K29"/>
    <mergeCell ref="C30:G30"/>
    <mergeCell ref="J30:K30"/>
    <mergeCell ref="J24:K24"/>
    <mergeCell ref="C25:G25"/>
    <mergeCell ref="J25:K25"/>
    <mergeCell ref="C26:G26"/>
    <mergeCell ref="J26:K26"/>
    <mergeCell ref="C27:G27"/>
    <mergeCell ref="J27:K27"/>
    <mergeCell ref="B19:I19"/>
    <mergeCell ref="B20:I20"/>
    <mergeCell ref="B21:I21"/>
    <mergeCell ref="B22:I22"/>
    <mergeCell ref="B23:I23"/>
    <mergeCell ref="B24:I24"/>
    <mergeCell ref="C14:G14"/>
    <mergeCell ref="J14:K14"/>
    <mergeCell ref="C15:I15"/>
    <mergeCell ref="B16:I16"/>
    <mergeCell ref="A17:K17"/>
    <mergeCell ref="B18:I18"/>
    <mergeCell ref="C11:G11"/>
    <mergeCell ref="J11:K11"/>
    <mergeCell ref="C12:G12"/>
    <mergeCell ref="J12:K12"/>
    <mergeCell ref="C13:G13"/>
    <mergeCell ref="J13:K13"/>
    <mergeCell ref="C8:G8"/>
    <mergeCell ref="J8:K8"/>
    <mergeCell ref="C9:G9"/>
    <mergeCell ref="J9:K9"/>
    <mergeCell ref="C10:G10"/>
    <mergeCell ref="J10:K10"/>
    <mergeCell ref="C5:G5"/>
    <mergeCell ref="J5:K5"/>
    <mergeCell ref="C6:G6"/>
    <mergeCell ref="J6:K6"/>
    <mergeCell ref="C7:G7"/>
    <mergeCell ref="J7:K7"/>
    <mergeCell ref="A1:K1"/>
    <mergeCell ref="B2:I2"/>
    <mergeCell ref="B3:I3"/>
    <mergeCell ref="J3:K3"/>
    <mergeCell ref="C4:G4"/>
    <mergeCell ref="J4:K4"/>
  </mergeCells>
  <hyperlinks>
    <hyperlink ref="I14" location="'P&amp;L Other Details'!A3" display="'P&amp;L Other Details'!A3"/>
    <hyperlink ref="K85" location="'P&amp;L Other Details'!D3" display="'P&amp;L Other Details'!D3"/>
    <hyperlink ref="I89" location="'P&amp;L Other Details'!U3" display="'P&amp;L Other Details'!U3"/>
    <hyperlink ref="I88" location="'P&amp;L Other Details'!K3" display="'P&amp;L Other Details'!K3"/>
    <hyperlink ref="I87" location="'P&amp;L Other Details'!G3" display="'P&amp;L Other Details'!G3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51"/>
  <sheetViews>
    <sheetView workbookViewId="0">
      <selection activeCell="B3" sqref="B3"/>
    </sheetView>
  </sheetViews>
  <sheetFormatPr defaultRowHeight="15" x14ac:dyDescent="0.25"/>
  <cols>
    <col min="1" max="1" width="53.140625" style="22" customWidth="1"/>
    <col min="2" max="2" width="18" style="24" customWidth="1"/>
    <col min="3" max="3" width="9.140625" style="17"/>
    <col min="4" max="4" width="53.140625" style="22" customWidth="1"/>
    <col min="5" max="5" width="18" style="24" customWidth="1"/>
    <col min="6" max="6" width="9.140625" style="17"/>
    <col min="7" max="7" width="17.7109375" style="23" customWidth="1"/>
    <col min="8" max="8" width="23.140625" style="23" customWidth="1"/>
    <col min="9" max="9" width="18" style="25" customWidth="1"/>
    <col min="10" max="10" width="9.140625" style="17"/>
    <col min="11" max="11" width="15.28515625" style="22" bestFit="1" customWidth="1"/>
    <col min="12" max="12" width="19.7109375" style="22" bestFit="1" customWidth="1"/>
    <col min="13" max="13" width="33.5703125" style="22" bestFit="1" customWidth="1"/>
    <col min="14" max="14" width="23.28515625" style="22" bestFit="1" customWidth="1"/>
    <col min="15" max="15" width="23.28515625" style="22" customWidth="1"/>
    <col min="16" max="16" width="18.42578125" style="22" bestFit="1" customWidth="1"/>
    <col min="17" max="17" width="15.85546875" style="22" customWidth="1"/>
    <col min="18" max="18" width="11.5703125" style="22" customWidth="1"/>
    <col min="19" max="19" width="12.7109375" style="22" bestFit="1" customWidth="1"/>
    <col min="20" max="20" width="18" style="24" customWidth="1"/>
    <col min="21" max="21" width="9.140625" style="17"/>
    <col min="22" max="22" width="53.140625" style="17" customWidth="1"/>
    <col min="23" max="23" width="18" style="17" customWidth="1"/>
    <col min="24" max="16382" width="9.140625" style="17"/>
    <col min="16383" max="16383" width="32.28515625" style="17" bestFit="1" customWidth="1"/>
    <col min="16384" max="16384" width="57.7109375" style="17" bestFit="1" customWidth="1"/>
  </cols>
  <sheetData>
    <row r="1" spans="1:23 16383:16384" x14ac:dyDescent="0.25">
      <c r="A1" s="47" t="s">
        <v>272</v>
      </c>
      <c r="B1" s="47"/>
      <c r="D1" s="47" t="s">
        <v>357</v>
      </c>
      <c r="E1" s="47"/>
      <c r="G1" s="48" t="s">
        <v>359</v>
      </c>
      <c r="H1" s="48"/>
      <c r="I1" s="48"/>
      <c r="K1" s="48" t="s">
        <v>360</v>
      </c>
      <c r="L1" s="48"/>
      <c r="M1" s="48"/>
      <c r="N1" s="48"/>
      <c r="O1" s="48"/>
      <c r="P1" s="48"/>
      <c r="Q1" s="48"/>
      <c r="R1" s="48"/>
      <c r="S1" s="48"/>
      <c r="T1" s="48"/>
      <c r="V1" s="47" t="s">
        <v>361</v>
      </c>
      <c r="W1" s="47"/>
      <c r="XFC1" s="26" t="s">
        <v>652</v>
      </c>
      <c r="XFD1" s="26" t="s">
        <v>401</v>
      </c>
    </row>
    <row r="2" spans="1:23 16383:16384" x14ac:dyDescent="0.25">
      <c r="A2" s="18" t="s">
        <v>257</v>
      </c>
      <c r="B2" s="18" t="s">
        <v>258</v>
      </c>
      <c r="D2" s="18" t="s">
        <v>257</v>
      </c>
      <c r="E2" s="18" t="s">
        <v>258</v>
      </c>
      <c r="G2" s="19" t="s">
        <v>373</v>
      </c>
      <c r="H2" s="19" t="s">
        <v>374</v>
      </c>
      <c r="I2" s="19" t="s">
        <v>258</v>
      </c>
      <c r="K2" s="20" t="s">
        <v>375</v>
      </c>
      <c r="L2" s="20" t="s">
        <v>376</v>
      </c>
      <c r="M2" s="20" t="s">
        <v>377</v>
      </c>
      <c r="N2" s="20" t="s">
        <v>378</v>
      </c>
      <c r="O2" s="20" t="s">
        <v>379</v>
      </c>
      <c r="P2" s="20" t="s">
        <v>380</v>
      </c>
      <c r="Q2" s="20" t="s">
        <v>381</v>
      </c>
      <c r="R2" s="20" t="s">
        <v>382</v>
      </c>
      <c r="S2" s="20" t="s">
        <v>383</v>
      </c>
      <c r="T2" s="19" t="s">
        <v>258</v>
      </c>
      <c r="V2" s="18" t="s">
        <v>257</v>
      </c>
      <c r="W2" s="18" t="s">
        <v>258</v>
      </c>
      <c r="XFC2" s="26" t="s">
        <v>653</v>
      </c>
      <c r="XFD2" s="26" t="s">
        <v>402</v>
      </c>
    </row>
    <row r="3" spans="1:23 16383:16384" x14ac:dyDescent="0.25">
      <c r="A3" s="21" t="s">
        <v>384</v>
      </c>
      <c r="B3" s="24" t="s">
        <v>400</v>
      </c>
      <c r="XFC3" s="26" t="s">
        <v>654</v>
      </c>
      <c r="XFD3" s="26" t="s">
        <v>403</v>
      </c>
    </row>
    <row r="4" spans="1:23 16383:16384" x14ac:dyDescent="0.25">
      <c r="B4" s="24" t="s">
        <v>400</v>
      </c>
      <c r="XFC4" s="26" t="s">
        <v>655</v>
      </c>
      <c r="XFD4" s="26" t="s">
        <v>404</v>
      </c>
    </row>
    <row r="5" spans="1:23 16383:16384" x14ac:dyDescent="0.25">
      <c r="XFC5" s="26" t="s">
        <v>656</v>
      </c>
      <c r="XFD5" s="26" t="s">
        <v>405</v>
      </c>
    </row>
    <row r="6" spans="1:23 16383:16384" x14ac:dyDescent="0.25">
      <c r="A6" s="22" t="s">
        <v>400</v>
      </c>
      <c r="XFC6" s="26" t="s">
        <v>657</v>
      </c>
      <c r="XFD6" s="26" t="s">
        <v>406</v>
      </c>
    </row>
    <row r="7" spans="1:23 16383:16384" x14ac:dyDescent="0.25">
      <c r="XFC7" s="26" t="s">
        <v>658</v>
      </c>
      <c r="XFD7" s="26" t="s">
        <v>407</v>
      </c>
    </row>
    <row r="8" spans="1:23 16383:16384" x14ac:dyDescent="0.25">
      <c r="XFC8" s="26" t="s">
        <v>659</v>
      </c>
      <c r="XFD8" s="26" t="s">
        <v>408</v>
      </c>
    </row>
    <row r="9" spans="1:23 16383:16384" x14ac:dyDescent="0.25">
      <c r="XFC9" s="26" t="s">
        <v>660</v>
      </c>
      <c r="XFD9" s="26" t="s">
        <v>409</v>
      </c>
    </row>
    <row r="10" spans="1:23 16383:16384" x14ac:dyDescent="0.25">
      <c r="XFC10" s="26" t="s">
        <v>661</v>
      </c>
      <c r="XFD10" s="26" t="s">
        <v>410</v>
      </c>
    </row>
    <row r="11" spans="1:23 16383:16384" x14ac:dyDescent="0.25">
      <c r="XFC11" s="26" t="s">
        <v>662</v>
      </c>
      <c r="XFD11" s="26" t="s">
        <v>411</v>
      </c>
    </row>
    <row r="12" spans="1:23 16383:16384" x14ac:dyDescent="0.25">
      <c r="XFC12" s="26" t="s">
        <v>663</v>
      </c>
      <c r="XFD12" s="26" t="s">
        <v>412</v>
      </c>
    </row>
    <row r="13" spans="1:23 16383:16384" x14ac:dyDescent="0.25">
      <c r="XFC13" s="26" t="s">
        <v>664</v>
      </c>
      <c r="XFD13" s="26" t="s">
        <v>413</v>
      </c>
    </row>
    <row r="14" spans="1:23 16383:16384" x14ac:dyDescent="0.25">
      <c r="XFC14" s="26" t="s">
        <v>665</v>
      </c>
      <c r="XFD14" s="26" t="s">
        <v>414</v>
      </c>
    </row>
    <row r="15" spans="1:23 16383:16384" x14ac:dyDescent="0.25">
      <c r="XFC15" s="26" t="s">
        <v>666</v>
      </c>
      <c r="XFD15" s="26" t="s">
        <v>415</v>
      </c>
    </row>
    <row r="16" spans="1:23 16383:16384" x14ac:dyDescent="0.25">
      <c r="XFC16" s="26" t="s">
        <v>667</v>
      </c>
      <c r="XFD16" s="26" t="s">
        <v>416</v>
      </c>
    </row>
    <row r="17" spans="16383:16384" x14ac:dyDescent="0.25">
      <c r="XFC17" s="26" t="s">
        <v>668</v>
      </c>
      <c r="XFD17" s="26" t="s">
        <v>417</v>
      </c>
    </row>
    <row r="18" spans="16383:16384" x14ac:dyDescent="0.25">
      <c r="XFC18" s="26" t="s">
        <v>669</v>
      </c>
      <c r="XFD18" s="26" t="s">
        <v>418</v>
      </c>
    </row>
    <row r="19" spans="16383:16384" x14ac:dyDescent="0.25">
      <c r="XFC19" s="26" t="s">
        <v>670</v>
      </c>
      <c r="XFD19" s="26" t="s">
        <v>419</v>
      </c>
    </row>
    <row r="20" spans="16383:16384" x14ac:dyDescent="0.25">
      <c r="XFC20" s="26" t="s">
        <v>671</v>
      </c>
      <c r="XFD20" s="26" t="s">
        <v>420</v>
      </c>
    </row>
    <row r="21" spans="16383:16384" x14ac:dyDescent="0.25">
      <c r="XFC21" s="26" t="s">
        <v>672</v>
      </c>
      <c r="XFD21" s="26" t="s">
        <v>421</v>
      </c>
    </row>
    <row r="22" spans="16383:16384" x14ac:dyDescent="0.25">
      <c r="XFC22" s="26" t="s">
        <v>673</v>
      </c>
      <c r="XFD22" s="26" t="s">
        <v>422</v>
      </c>
    </row>
    <row r="23" spans="16383:16384" x14ac:dyDescent="0.25">
      <c r="XFC23" s="26" t="s">
        <v>674</v>
      </c>
      <c r="XFD23" s="26" t="s">
        <v>423</v>
      </c>
    </row>
    <row r="24" spans="16383:16384" x14ac:dyDescent="0.25">
      <c r="XFC24" s="26" t="s">
        <v>675</v>
      </c>
      <c r="XFD24" s="26" t="s">
        <v>424</v>
      </c>
    </row>
    <row r="25" spans="16383:16384" x14ac:dyDescent="0.25">
      <c r="XFC25" s="26" t="s">
        <v>676</v>
      </c>
      <c r="XFD25" s="26" t="s">
        <v>425</v>
      </c>
    </row>
    <row r="26" spans="16383:16384" x14ac:dyDescent="0.25">
      <c r="XFC26" s="26" t="s">
        <v>677</v>
      </c>
      <c r="XFD26" s="26" t="s">
        <v>426</v>
      </c>
    </row>
    <row r="27" spans="16383:16384" x14ac:dyDescent="0.25">
      <c r="XFC27" s="26" t="s">
        <v>678</v>
      </c>
      <c r="XFD27" s="26" t="s">
        <v>427</v>
      </c>
    </row>
    <row r="28" spans="16383:16384" x14ac:dyDescent="0.25">
      <c r="XFC28" s="26" t="s">
        <v>679</v>
      </c>
      <c r="XFD28" s="26" t="s">
        <v>428</v>
      </c>
    </row>
    <row r="29" spans="16383:16384" x14ac:dyDescent="0.25">
      <c r="XFC29" s="26" t="s">
        <v>680</v>
      </c>
      <c r="XFD29" s="26" t="s">
        <v>429</v>
      </c>
    </row>
    <row r="30" spans="16383:16384" x14ac:dyDescent="0.25">
      <c r="XFC30" s="26" t="s">
        <v>681</v>
      </c>
      <c r="XFD30" s="26" t="s">
        <v>430</v>
      </c>
    </row>
    <row r="31" spans="16383:16384" x14ac:dyDescent="0.25">
      <c r="XFC31" s="26" t="s">
        <v>682</v>
      </c>
      <c r="XFD31" s="26" t="s">
        <v>431</v>
      </c>
    </row>
    <row r="32" spans="16383:16384" x14ac:dyDescent="0.25">
      <c r="XFC32" s="26" t="s">
        <v>683</v>
      </c>
      <c r="XFD32" s="26" t="s">
        <v>432</v>
      </c>
    </row>
    <row r="33" spans="16383:16384" x14ac:dyDescent="0.25">
      <c r="XFC33" s="26" t="s">
        <v>684</v>
      </c>
      <c r="XFD33" s="26" t="s">
        <v>433</v>
      </c>
    </row>
    <row r="34" spans="16383:16384" x14ac:dyDescent="0.25">
      <c r="XFC34" s="26" t="s">
        <v>685</v>
      </c>
      <c r="XFD34" s="26" t="s">
        <v>434</v>
      </c>
    </row>
    <row r="35" spans="16383:16384" x14ac:dyDescent="0.25">
      <c r="XFC35" s="26" t="s">
        <v>686</v>
      </c>
      <c r="XFD35" s="26" t="s">
        <v>435</v>
      </c>
    </row>
    <row r="36" spans="16383:16384" x14ac:dyDescent="0.25">
      <c r="XFC36" s="26" t="s">
        <v>687</v>
      </c>
      <c r="XFD36" s="26" t="s">
        <v>436</v>
      </c>
    </row>
    <row r="37" spans="16383:16384" x14ac:dyDescent="0.25">
      <c r="XFC37" s="26" t="s">
        <v>688</v>
      </c>
      <c r="XFD37" s="26" t="s">
        <v>437</v>
      </c>
    </row>
    <row r="38" spans="16383:16384" x14ac:dyDescent="0.25">
      <c r="XFC38" s="26" t="s">
        <v>689</v>
      </c>
      <c r="XFD38" s="26" t="s">
        <v>438</v>
      </c>
    </row>
    <row r="39" spans="16383:16384" x14ac:dyDescent="0.25">
      <c r="XFC39" s="26" t="s">
        <v>690</v>
      </c>
      <c r="XFD39" s="26" t="s">
        <v>439</v>
      </c>
    </row>
    <row r="40" spans="16383:16384" x14ac:dyDescent="0.25">
      <c r="XFC40" s="26" t="s">
        <v>691</v>
      </c>
      <c r="XFD40" s="26" t="s">
        <v>440</v>
      </c>
    </row>
    <row r="41" spans="16383:16384" x14ac:dyDescent="0.25">
      <c r="XFC41" s="26" t="s">
        <v>692</v>
      </c>
      <c r="XFD41" s="26" t="s">
        <v>441</v>
      </c>
    </row>
    <row r="42" spans="16383:16384" x14ac:dyDescent="0.25">
      <c r="XFC42" s="26" t="s">
        <v>693</v>
      </c>
      <c r="XFD42" s="26" t="s">
        <v>442</v>
      </c>
    </row>
    <row r="43" spans="16383:16384" x14ac:dyDescent="0.25">
      <c r="XFD43" s="26" t="s">
        <v>443</v>
      </c>
    </row>
    <row r="44" spans="16383:16384" x14ac:dyDescent="0.25">
      <c r="XFD44" s="26" t="s">
        <v>444</v>
      </c>
    </row>
    <row r="45" spans="16383:16384" x14ac:dyDescent="0.25">
      <c r="XFD45" s="26" t="s">
        <v>445</v>
      </c>
    </row>
    <row r="46" spans="16383:16384" x14ac:dyDescent="0.25">
      <c r="XFD46" s="26" t="s">
        <v>446</v>
      </c>
    </row>
    <row r="47" spans="16383:16384" x14ac:dyDescent="0.25">
      <c r="XFD47" s="26" t="s">
        <v>447</v>
      </c>
    </row>
    <row r="48" spans="16383:16384" x14ac:dyDescent="0.25">
      <c r="XFD48" s="26" t="s">
        <v>448</v>
      </c>
    </row>
    <row r="49" spans="16384:16384" x14ac:dyDescent="0.25">
      <c r="XFD49" s="26" t="s">
        <v>449</v>
      </c>
    </row>
    <row r="50" spans="16384:16384" x14ac:dyDescent="0.25">
      <c r="XFD50" s="26" t="s">
        <v>450</v>
      </c>
    </row>
    <row r="51" spans="16384:16384" x14ac:dyDescent="0.25">
      <c r="XFD51" s="26" t="s">
        <v>451</v>
      </c>
    </row>
    <row r="52" spans="16384:16384" x14ac:dyDescent="0.25">
      <c r="XFD52" s="26" t="s">
        <v>452</v>
      </c>
    </row>
    <row r="53" spans="16384:16384" x14ac:dyDescent="0.25">
      <c r="XFD53" s="26" t="s">
        <v>453</v>
      </c>
    </row>
    <row r="54" spans="16384:16384" x14ac:dyDescent="0.25">
      <c r="XFD54" s="26" t="s">
        <v>454</v>
      </c>
    </row>
    <row r="55" spans="16384:16384" x14ac:dyDescent="0.25">
      <c r="XFD55" s="26" t="s">
        <v>455</v>
      </c>
    </row>
    <row r="56" spans="16384:16384" x14ac:dyDescent="0.25">
      <c r="XFD56" s="26" t="s">
        <v>456</v>
      </c>
    </row>
    <row r="57" spans="16384:16384" x14ac:dyDescent="0.25">
      <c r="XFD57" s="26" t="s">
        <v>457</v>
      </c>
    </row>
    <row r="58" spans="16384:16384" x14ac:dyDescent="0.25">
      <c r="XFD58" s="26" t="s">
        <v>458</v>
      </c>
    </row>
    <row r="59" spans="16384:16384" x14ac:dyDescent="0.25">
      <c r="XFD59" s="26" t="s">
        <v>459</v>
      </c>
    </row>
    <row r="60" spans="16384:16384" x14ac:dyDescent="0.25">
      <c r="XFD60" s="26" t="s">
        <v>460</v>
      </c>
    </row>
    <row r="61" spans="16384:16384" x14ac:dyDescent="0.25">
      <c r="XFD61" s="26" t="s">
        <v>461</v>
      </c>
    </row>
    <row r="62" spans="16384:16384" x14ac:dyDescent="0.25">
      <c r="XFD62" s="26" t="s">
        <v>462</v>
      </c>
    </row>
    <row r="63" spans="16384:16384" x14ac:dyDescent="0.25">
      <c r="XFD63" s="26" t="s">
        <v>463</v>
      </c>
    </row>
    <row r="64" spans="16384:16384" x14ac:dyDescent="0.25">
      <c r="XFD64" s="26" t="s">
        <v>464</v>
      </c>
    </row>
    <row r="65" spans="16384:16384" x14ac:dyDescent="0.25">
      <c r="XFD65" s="26" t="s">
        <v>465</v>
      </c>
    </row>
    <row r="66" spans="16384:16384" x14ac:dyDescent="0.25">
      <c r="XFD66" s="26" t="s">
        <v>466</v>
      </c>
    </row>
    <row r="67" spans="16384:16384" x14ac:dyDescent="0.25">
      <c r="XFD67" s="26" t="s">
        <v>467</v>
      </c>
    </row>
    <row r="68" spans="16384:16384" x14ac:dyDescent="0.25">
      <c r="XFD68" s="26" t="s">
        <v>468</v>
      </c>
    </row>
    <row r="69" spans="16384:16384" x14ac:dyDescent="0.25">
      <c r="XFD69" s="26" t="s">
        <v>469</v>
      </c>
    </row>
    <row r="70" spans="16384:16384" x14ac:dyDescent="0.25">
      <c r="XFD70" s="26" t="s">
        <v>470</v>
      </c>
    </row>
    <row r="71" spans="16384:16384" x14ac:dyDescent="0.25">
      <c r="XFD71" s="26" t="s">
        <v>471</v>
      </c>
    </row>
    <row r="72" spans="16384:16384" x14ac:dyDescent="0.25">
      <c r="XFD72" s="26" t="s">
        <v>472</v>
      </c>
    </row>
    <row r="73" spans="16384:16384" x14ac:dyDescent="0.25">
      <c r="XFD73" s="26" t="s">
        <v>473</v>
      </c>
    </row>
    <row r="74" spans="16384:16384" x14ac:dyDescent="0.25">
      <c r="XFD74" s="26" t="s">
        <v>474</v>
      </c>
    </row>
    <row r="75" spans="16384:16384" x14ac:dyDescent="0.25">
      <c r="XFD75" s="26" t="s">
        <v>475</v>
      </c>
    </row>
    <row r="76" spans="16384:16384" x14ac:dyDescent="0.25">
      <c r="XFD76" s="26" t="s">
        <v>476</v>
      </c>
    </row>
    <row r="77" spans="16384:16384" x14ac:dyDescent="0.25">
      <c r="XFD77" s="26" t="s">
        <v>477</v>
      </c>
    </row>
    <row r="78" spans="16384:16384" x14ac:dyDescent="0.25">
      <c r="XFD78" s="26" t="s">
        <v>478</v>
      </c>
    </row>
    <row r="79" spans="16384:16384" x14ac:dyDescent="0.25">
      <c r="XFD79" s="26" t="s">
        <v>479</v>
      </c>
    </row>
    <row r="80" spans="16384:16384" x14ac:dyDescent="0.25">
      <c r="XFD80" s="26" t="s">
        <v>480</v>
      </c>
    </row>
    <row r="81" spans="16384:16384" x14ac:dyDescent="0.25">
      <c r="XFD81" s="26" t="s">
        <v>481</v>
      </c>
    </row>
    <row r="82" spans="16384:16384" x14ac:dyDescent="0.25">
      <c r="XFD82" s="26" t="s">
        <v>482</v>
      </c>
    </row>
    <row r="83" spans="16384:16384" x14ac:dyDescent="0.25">
      <c r="XFD83" s="26" t="s">
        <v>483</v>
      </c>
    </row>
    <row r="84" spans="16384:16384" x14ac:dyDescent="0.25">
      <c r="XFD84" s="26" t="s">
        <v>484</v>
      </c>
    </row>
    <row r="85" spans="16384:16384" x14ac:dyDescent="0.25">
      <c r="XFD85" s="26" t="s">
        <v>485</v>
      </c>
    </row>
    <row r="86" spans="16384:16384" x14ac:dyDescent="0.25">
      <c r="XFD86" s="26" t="s">
        <v>486</v>
      </c>
    </row>
    <row r="87" spans="16384:16384" x14ac:dyDescent="0.25">
      <c r="XFD87" s="26" t="s">
        <v>487</v>
      </c>
    </row>
    <row r="88" spans="16384:16384" x14ac:dyDescent="0.25">
      <c r="XFD88" s="26" t="s">
        <v>488</v>
      </c>
    </row>
    <row r="89" spans="16384:16384" x14ac:dyDescent="0.25">
      <c r="XFD89" s="26" t="s">
        <v>489</v>
      </c>
    </row>
    <row r="90" spans="16384:16384" x14ac:dyDescent="0.25">
      <c r="XFD90" s="26" t="s">
        <v>490</v>
      </c>
    </row>
    <row r="91" spans="16384:16384" x14ac:dyDescent="0.25">
      <c r="XFD91" s="26" t="s">
        <v>491</v>
      </c>
    </row>
    <row r="92" spans="16384:16384" x14ac:dyDescent="0.25">
      <c r="XFD92" s="26" t="s">
        <v>492</v>
      </c>
    </row>
    <row r="93" spans="16384:16384" x14ac:dyDescent="0.25">
      <c r="XFD93" s="26" t="s">
        <v>493</v>
      </c>
    </row>
    <row r="94" spans="16384:16384" x14ac:dyDescent="0.25">
      <c r="XFD94" s="26" t="s">
        <v>494</v>
      </c>
    </row>
    <row r="95" spans="16384:16384" x14ac:dyDescent="0.25">
      <c r="XFD95" s="26" t="s">
        <v>495</v>
      </c>
    </row>
    <row r="96" spans="16384:16384" x14ac:dyDescent="0.25">
      <c r="XFD96" s="26" t="s">
        <v>496</v>
      </c>
    </row>
    <row r="97" spans="16384:16384" x14ac:dyDescent="0.25">
      <c r="XFD97" s="26" t="s">
        <v>497</v>
      </c>
    </row>
    <row r="98" spans="16384:16384" x14ac:dyDescent="0.25">
      <c r="XFD98" s="26" t="s">
        <v>498</v>
      </c>
    </row>
    <row r="99" spans="16384:16384" x14ac:dyDescent="0.25">
      <c r="XFD99" s="26" t="s">
        <v>499</v>
      </c>
    </row>
    <row r="100" spans="16384:16384" x14ac:dyDescent="0.25">
      <c r="XFD100" s="26" t="s">
        <v>500</v>
      </c>
    </row>
    <row r="101" spans="16384:16384" x14ac:dyDescent="0.25">
      <c r="XFD101" s="26" t="s">
        <v>501</v>
      </c>
    </row>
    <row r="102" spans="16384:16384" x14ac:dyDescent="0.25">
      <c r="XFD102" s="26" t="s">
        <v>502</v>
      </c>
    </row>
    <row r="103" spans="16384:16384" x14ac:dyDescent="0.25">
      <c r="XFD103" s="26" t="s">
        <v>503</v>
      </c>
    </row>
    <row r="104" spans="16384:16384" x14ac:dyDescent="0.25">
      <c r="XFD104" s="26" t="s">
        <v>504</v>
      </c>
    </row>
    <row r="105" spans="16384:16384" x14ac:dyDescent="0.25">
      <c r="XFD105" s="26" t="s">
        <v>505</v>
      </c>
    </row>
    <row r="106" spans="16384:16384" x14ac:dyDescent="0.25">
      <c r="XFD106" s="26" t="s">
        <v>506</v>
      </c>
    </row>
    <row r="107" spans="16384:16384" x14ac:dyDescent="0.25">
      <c r="XFD107" s="26" t="s">
        <v>507</v>
      </c>
    </row>
    <row r="108" spans="16384:16384" x14ac:dyDescent="0.25">
      <c r="XFD108" s="26" t="s">
        <v>508</v>
      </c>
    </row>
    <row r="109" spans="16384:16384" x14ac:dyDescent="0.25">
      <c r="XFD109" s="26" t="s">
        <v>509</v>
      </c>
    </row>
    <row r="110" spans="16384:16384" x14ac:dyDescent="0.25">
      <c r="XFD110" s="26" t="s">
        <v>510</v>
      </c>
    </row>
    <row r="111" spans="16384:16384" x14ac:dyDescent="0.25">
      <c r="XFD111" s="26" t="s">
        <v>511</v>
      </c>
    </row>
    <row r="112" spans="16384:16384" x14ac:dyDescent="0.25">
      <c r="XFD112" s="26" t="s">
        <v>512</v>
      </c>
    </row>
    <row r="113" spans="16384:16384" x14ac:dyDescent="0.25">
      <c r="XFD113" s="26" t="s">
        <v>513</v>
      </c>
    </row>
    <row r="114" spans="16384:16384" x14ac:dyDescent="0.25">
      <c r="XFD114" s="26" t="s">
        <v>514</v>
      </c>
    </row>
    <row r="115" spans="16384:16384" x14ac:dyDescent="0.25">
      <c r="XFD115" s="26" t="s">
        <v>515</v>
      </c>
    </row>
    <row r="116" spans="16384:16384" x14ac:dyDescent="0.25">
      <c r="XFD116" s="26" t="s">
        <v>516</v>
      </c>
    </row>
    <row r="117" spans="16384:16384" x14ac:dyDescent="0.25">
      <c r="XFD117" s="26" t="s">
        <v>517</v>
      </c>
    </row>
    <row r="118" spans="16384:16384" x14ac:dyDescent="0.25">
      <c r="XFD118" s="26" t="s">
        <v>518</v>
      </c>
    </row>
    <row r="119" spans="16384:16384" x14ac:dyDescent="0.25">
      <c r="XFD119" s="26" t="s">
        <v>519</v>
      </c>
    </row>
    <row r="120" spans="16384:16384" x14ac:dyDescent="0.25">
      <c r="XFD120" s="26" t="s">
        <v>520</v>
      </c>
    </row>
    <row r="121" spans="16384:16384" x14ac:dyDescent="0.25">
      <c r="XFD121" s="26" t="s">
        <v>521</v>
      </c>
    </row>
    <row r="122" spans="16384:16384" x14ac:dyDescent="0.25">
      <c r="XFD122" s="26" t="s">
        <v>522</v>
      </c>
    </row>
    <row r="123" spans="16384:16384" x14ac:dyDescent="0.25">
      <c r="XFD123" s="26" t="s">
        <v>523</v>
      </c>
    </row>
    <row r="124" spans="16384:16384" x14ac:dyDescent="0.25">
      <c r="XFD124" s="26" t="s">
        <v>524</v>
      </c>
    </row>
    <row r="125" spans="16384:16384" x14ac:dyDescent="0.25">
      <c r="XFD125" s="26" t="s">
        <v>525</v>
      </c>
    </row>
    <row r="126" spans="16384:16384" x14ac:dyDescent="0.25">
      <c r="XFD126" s="26" t="s">
        <v>526</v>
      </c>
    </row>
    <row r="127" spans="16384:16384" x14ac:dyDescent="0.25">
      <c r="XFD127" s="26" t="s">
        <v>527</v>
      </c>
    </row>
    <row r="128" spans="16384:16384" x14ac:dyDescent="0.25">
      <c r="XFD128" s="26" t="s">
        <v>528</v>
      </c>
    </row>
    <row r="129" spans="16384:16384" x14ac:dyDescent="0.25">
      <c r="XFD129" s="26" t="s">
        <v>529</v>
      </c>
    </row>
    <row r="130" spans="16384:16384" x14ac:dyDescent="0.25">
      <c r="XFD130" s="26" t="s">
        <v>530</v>
      </c>
    </row>
    <row r="131" spans="16384:16384" x14ac:dyDescent="0.25">
      <c r="XFD131" s="26" t="s">
        <v>531</v>
      </c>
    </row>
    <row r="132" spans="16384:16384" x14ac:dyDescent="0.25">
      <c r="XFD132" s="26" t="s">
        <v>532</v>
      </c>
    </row>
    <row r="133" spans="16384:16384" x14ac:dyDescent="0.25">
      <c r="XFD133" s="26" t="s">
        <v>533</v>
      </c>
    </row>
    <row r="134" spans="16384:16384" x14ac:dyDescent="0.25">
      <c r="XFD134" s="26" t="s">
        <v>534</v>
      </c>
    </row>
    <row r="135" spans="16384:16384" x14ac:dyDescent="0.25">
      <c r="XFD135" s="26" t="s">
        <v>535</v>
      </c>
    </row>
    <row r="136" spans="16384:16384" x14ac:dyDescent="0.25">
      <c r="XFD136" s="26" t="s">
        <v>536</v>
      </c>
    </row>
    <row r="137" spans="16384:16384" x14ac:dyDescent="0.25">
      <c r="XFD137" s="26" t="s">
        <v>537</v>
      </c>
    </row>
    <row r="138" spans="16384:16384" x14ac:dyDescent="0.25">
      <c r="XFD138" s="26" t="s">
        <v>538</v>
      </c>
    </row>
    <row r="139" spans="16384:16384" x14ac:dyDescent="0.25">
      <c r="XFD139" s="26" t="s">
        <v>539</v>
      </c>
    </row>
    <row r="140" spans="16384:16384" x14ac:dyDescent="0.25">
      <c r="XFD140" s="26" t="s">
        <v>540</v>
      </c>
    </row>
    <row r="141" spans="16384:16384" x14ac:dyDescent="0.25">
      <c r="XFD141" s="26" t="s">
        <v>541</v>
      </c>
    </row>
    <row r="142" spans="16384:16384" x14ac:dyDescent="0.25">
      <c r="XFD142" s="26" t="s">
        <v>542</v>
      </c>
    </row>
    <row r="143" spans="16384:16384" x14ac:dyDescent="0.25">
      <c r="XFD143" s="26" t="s">
        <v>543</v>
      </c>
    </row>
    <row r="144" spans="16384:16384" x14ac:dyDescent="0.25">
      <c r="XFD144" s="26" t="s">
        <v>544</v>
      </c>
    </row>
    <row r="145" spans="16384:16384" x14ac:dyDescent="0.25">
      <c r="XFD145" s="26" t="s">
        <v>545</v>
      </c>
    </row>
    <row r="146" spans="16384:16384" x14ac:dyDescent="0.25">
      <c r="XFD146" s="26" t="s">
        <v>546</v>
      </c>
    </row>
    <row r="147" spans="16384:16384" x14ac:dyDescent="0.25">
      <c r="XFD147" s="26" t="s">
        <v>547</v>
      </c>
    </row>
    <row r="148" spans="16384:16384" x14ac:dyDescent="0.25">
      <c r="XFD148" s="26" t="s">
        <v>548</v>
      </c>
    </row>
    <row r="149" spans="16384:16384" x14ac:dyDescent="0.25">
      <c r="XFD149" s="26" t="s">
        <v>549</v>
      </c>
    </row>
    <row r="150" spans="16384:16384" x14ac:dyDescent="0.25">
      <c r="XFD150" s="26" t="s">
        <v>550</v>
      </c>
    </row>
    <row r="151" spans="16384:16384" x14ac:dyDescent="0.25">
      <c r="XFD151" s="26" t="s">
        <v>551</v>
      </c>
    </row>
    <row r="152" spans="16384:16384" x14ac:dyDescent="0.25">
      <c r="XFD152" s="26" t="s">
        <v>552</v>
      </c>
    </row>
    <row r="153" spans="16384:16384" x14ac:dyDescent="0.25">
      <c r="XFD153" s="26" t="s">
        <v>553</v>
      </c>
    </row>
    <row r="154" spans="16384:16384" x14ac:dyDescent="0.25">
      <c r="XFD154" s="26" t="s">
        <v>554</v>
      </c>
    </row>
    <row r="155" spans="16384:16384" x14ac:dyDescent="0.25">
      <c r="XFD155" s="26" t="s">
        <v>555</v>
      </c>
    </row>
    <row r="156" spans="16384:16384" x14ac:dyDescent="0.25">
      <c r="XFD156" s="26" t="s">
        <v>556</v>
      </c>
    </row>
    <row r="157" spans="16384:16384" x14ac:dyDescent="0.25">
      <c r="XFD157" s="26" t="s">
        <v>557</v>
      </c>
    </row>
    <row r="158" spans="16384:16384" x14ac:dyDescent="0.25">
      <c r="XFD158" s="26" t="s">
        <v>558</v>
      </c>
    </row>
    <row r="159" spans="16384:16384" x14ac:dyDescent="0.25">
      <c r="XFD159" s="26" t="s">
        <v>559</v>
      </c>
    </row>
    <row r="160" spans="16384:16384" x14ac:dyDescent="0.25">
      <c r="XFD160" s="26" t="s">
        <v>560</v>
      </c>
    </row>
    <row r="161" spans="16384:16384" x14ac:dyDescent="0.25">
      <c r="XFD161" s="26" t="s">
        <v>561</v>
      </c>
    </row>
    <row r="162" spans="16384:16384" x14ac:dyDescent="0.25">
      <c r="XFD162" s="26" t="s">
        <v>562</v>
      </c>
    </row>
    <row r="163" spans="16384:16384" x14ac:dyDescent="0.25">
      <c r="XFD163" s="26" t="s">
        <v>563</v>
      </c>
    </row>
    <row r="164" spans="16384:16384" x14ac:dyDescent="0.25">
      <c r="XFD164" s="26" t="s">
        <v>564</v>
      </c>
    </row>
    <row r="165" spans="16384:16384" x14ac:dyDescent="0.25">
      <c r="XFD165" s="26" t="s">
        <v>565</v>
      </c>
    </row>
    <row r="166" spans="16384:16384" x14ac:dyDescent="0.25">
      <c r="XFD166" s="26" t="s">
        <v>566</v>
      </c>
    </row>
    <row r="167" spans="16384:16384" x14ac:dyDescent="0.25">
      <c r="XFD167" s="26" t="s">
        <v>567</v>
      </c>
    </row>
    <row r="168" spans="16384:16384" x14ac:dyDescent="0.25">
      <c r="XFD168" s="26" t="s">
        <v>568</v>
      </c>
    </row>
    <row r="169" spans="16384:16384" x14ac:dyDescent="0.25">
      <c r="XFD169" s="26" t="s">
        <v>569</v>
      </c>
    </row>
    <row r="170" spans="16384:16384" x14ac:dyDescent="0.25">
      <c r="XFD170" s="26" t="s">
        <v>570</v>
      </c>
    </row>
    <row r="171" spans="16384:16384" x14ac:dyDescent="0.25">
      <c r="XFD171" s="26" t="s">
        <v>571</v>
      </c>
    </row>
    <row r="172" spans="16384:16384" x14ac:dyDescent="0.25">
      <c r="XFD172" s="26" t="s">
        <v>572</v>
      </c>
    </row>
    <row r="173" spans="16384:16384" x14ac:dyDescent="0.25">
      <c r="XFD173" s="26" t="s">
        <v>573</v>
      </c>
    </row>
    <row r="174" spans="16384:16384" x14ac:dyDescent="0.25">
      <c r="XFD174" s="26" t="s">
        <v>574</v>
      </c>
    </row>
    <row r="175" spans="16384:16384" x14ac:dyDescent="0.25">
      <c r="XFD175" s="26" t="s">
        <v>575</v>
      </c>
    </row>
    <row r="176" spans="16384:16384" x14ac:dyDescent="0.25">
      <c r="XFD176" s="26" t="s">
        <v>576</v>
      </c>
    </row>
    <row r="177" spans="16384:16384" x14ac:dyDescent="0.25">
      <c r="XFD177" s="26" t="s">
        <v>577</v>
      </c>
    </row>
    <row r="178" spans="16384:16384" x14ac:dyDescent="0.25">
      <c r="XFD178" s="26" t="s">
        <v>578</v>
      </c>
    </row>
    <row r="179" spans="16384:16384" x14ac:dyDescent="0.25">
      <c r="XFD179" s="26" t="s">
        <v>579</v>
      </c>
    </row>
    <row r="180" spans="16384:16384" x14ac:dyDescent="0.25">
      <c r="XFD180" s="26" t="s">
        <v>580</v>
      </c>
    </row>
    <row r="181" spans="16384:16384" x14ac:dyDescent="0.25">
      <c r="XFD181" s="26" t="s">
        <v>581</v>
      </c>
    </row>
    <row r="182" spans="16384:16384" x14ac:dyDescent="0.25">
      <c r="XFD182" s="26" t="s">
        <v>582</v>
      </c>
    </row>
    <row r="183" spans="16384:16384" x14ac:dyDescent="0.25">
      <c r="XFD183" s="26" t="s">
        <v>583</v>
      </c>
    </row>
    <row r="184" spans="16384:16384" x14ac:dyDescent="0.25">
      <c r="XFD184" s="26" t="s">
        <v>584</v>
      </c>
    </row>
    <row r="185" spans="16384:16384" x14ac:dyDescent="0.25">
      <c r="XFD185" s="26" t="s">
        <v>585</v>
      </c>
    </row>
    <row r="186" spans="16384:16384" x14ac:dyDescent="0.25">
      <c r="XFD186" s="26" t="s">
        <v>586</v>
      </c>
    </row>
    <row r="187" spans="16384:16384" x14ac:dyDescent="0.25">
      <c r="XFD187" s="26" t="s">
        <v>587</v>
      </c>
    </row>
    <row r="188" spans="16384:16384" x14ac:dyDescent="0.25">
      <c r="XFD188" s="26" t="s">
        <v>588</v>
      </c>
    </row>
    <row r="189" spans="16384:16384" x14ac:dyDescent="0.25">
      <c r="XFD189" s="26" t="s">
        <v>589</v>
      </c>
    </row>
    <row r="190" spans="16384:16384" x14ac:dyDescent="0.25">
      <c r="XFD190" s="26" t="s">
        <v>590</v>
      </c>
    </row>
    <row r="191" spans="16384:16384" x14ac:dyDescent="0.25">
      <c r="XFD191" s="26" t="s">
        <v>591</v>
      </c>
    </row>
    <row r="192" spans="16384:16384" x14ac:dyDescent="0.25">
      <c r="XFD192" s="26" t="s">
        <v>592</v>
      </c>
    </row>
    <row r="193" spans="16384:16384" x14ac:dyDescent="0.25">
      <c r="XFD193" s="26" t="s">
        <v>593</v>
      </c>
    </row>
    <row r="194" spans="16384:16384" x14ac:dyDescent="0.25">
      <c r="XFD194" s="26" t="s">
        <v>594</v>
      </c>
    </row>
    <row r="195" spans="16384:16384" x14ac:dyDescent="0.25">
      <c r="XFD195" s="26" t="s">
        <v>595</v>
      </c>
    </row>
    <row r="196" spans="16384:16384" x14ac:dyDescent="0.25">
      <c r="XFD196" s="26" t="s">
        <v>596</v>
      </c>
    </row>
    <row r="197" spans="16384:16384" x14ac:dyDescent="0.25">
      <c r="XFD197" s="26" t="s">
        <v>597</v>
      </c>
    </row>
    <row r="198" spans="16384:16384" x14ac:dyDescent="0.25">
      <c r="XFD198" s="26" t="s">
        <v>598</v>
      </c>
    </row>
    <row r="199" spans="16384:16384" x14ac:dyDescent="0.25">
      <c r="XFD199" s="26" t="s">
        <v>599</v>
      </c>
    </row>
    <row r="200" spans="16384:16384" x14ac:dyDescent="0.25">
      <c r="XFD200" s="26" t="s">
        <v>600</v>
      </c>
    </row>
    <row r="201" spans="16384:16384" x14ac:dyDescent="0.25">
      <c r="XFD201" s="26" t="s">
        <v>601</v>
      </c>
    </row>
    <row r="202" spans="16384:16384" x14ac:dyDescent="0.25">
      <c r="XFD202" s="26" t="s">
        <v>602</v>
      </c>
    </row>
    <row r="203" spans="16384:16384" x14ac:dyDescent="0.25">
      <c r="XFD203" s="26" t="s">
        <v>603</v>
      </c>
    </row>
    <row r="204" spans="16384:16384" x14ac:dyDescent="0.25">
      <c r="XFD204" s="26" t="s">
        <v>604</v>
      </c>
    </row>
    <row r="205" spans="16384:16384" x14ac:dyDescent="0.25">
      <c r="XFD205" s="26" t="s">
        <v>605</v>
      </c>
    </row>
    <row r="206" spans="16384:16384" x14ac:dyDescent="0.25">
      <c r="XFD206" s="26" t="s">
        <v>606</v>
      </c>
    </row>
    <row r="207" spans="16384:16384" x14ac:dyDescent="0.25">
      <c r="XFD207" s="26" t="s">
        <v>607</v>
      </c>
    </row>
    <row r="208" spans="16384:16384" x14ac:dyDescent="0.25">
      <c r="XFD208" s="26" t="s">
        <v>608</v>
      </c>
    </row>
    <row r="209" spans="16384:16384" x14ac:dyDescent="0.25">
      <c r="XFD209" s="26" t="s">
        <v>609</v>
      </c>
    </row>
    <row r="210" spans="16384:16384" x14ac:dyDescent="0.25">
      <c r="XFD210" s="26" t="s">
        <v>610</v>
      </c>
    </row>
    <row r="211" spans="16384:16384" x14ac:dyDescent="0.25">
      <c r="XFD211" s="26" t="s">
        <v>611</v>
      </c>
    </row>
    <row r="212" spans="16384:16384" x14ac:dyDescent="0.25">
      <c r="XFD212" s="26" t="s">
        <v>612</v>
      </c>
    </row>
    <row r="213" spans="16384:16384" x14ac:dyDescent="0.25">
      <c r="XFD213" s="26" t="s">
        <v>613</v>
      </c>
    </row>
    <row r="214" spans="16384:16384" x14ac:dyDescent="0.25">
      <c r="XFD214" s="26" t="s">
        <v>614</v>
      </c>
    </row>
    <row r="215" spans="16384:16384" x14ac:dyDescent="0.25">
      <c r="XFD215" s="26" t="s">
        <v>615</v>
      </c>
    </row>
    <row r="216" spans="16384:16384" x14ac:dyDescent="0.25">
      <c r="XFD216" s="26" t="s">
        <v>616</v>
      </c>
    </row>
    <row r="217" spans="16384:16384" x14ac:dyDescent="0.25">
      <c r="XFD217" s="26" t="s">
        <v>617</v>
      </c>
    </row>
    <row r="218" spans="16384:16384" x14ac:dyDescent="0.25">
      <c r="XFD218" s="26" t="s">
        <v>618</v>
      </c>
    </row>
    <row r="219" spans="16384:16384" x14ac:dyDescent="0.25">
      <c r="XFD219" s="26" t="s">
        <v>619</v>
      </c>
    </row>
    <row r="220" spans="16384:16384" x14ac:dyDescent="0.25">
      <c r="XFD220" s="26" t="s">
        <v>620</v>
      </c>
    </row>
    <row r="221" spans="16384:16384" x14ac:dyDescent="0.25">
      <c r="XFD221" s="26" t="s">
        <v>621</v>
      </c>
    </row>
    <row r="222" spans="16384:16384" x14ac:dyDescent="0.25">
      <c r="XFD222" s="26" t="s">
        <v>622</v>
      </c>
    </row>
    <row r="223" spans="16384:16384" x14ac:dyDescent="0.25">
      <c r="XFD223" s="26" t="s">
        <v>623</v>
      </c>
    </row>
    <row r="224" spans="16384:16384" x14ac:dyDescent="0.25">
      <c r="XFD224" s="26" t="s">
        <v>624</v>
      </c>
    </row>
    <row r="225" spans="16384:16384" x14ac:dyDescent="0.25">
      <c r="XFD225" s="26" t="s">
        <v>625</v>
      </c>
    </row>
    <row r="226" spans="16384:16384" x14ac:dyDescent="0.25">
      <c r="XFD226" s="26" t="s">
        <v>626</v>
      </c>
    </row>
    <row r="227" spans="16384:16384" x14ac:dyDescent="0.25">
      <c r="XFD227" s="26" t="s">
        <v>627</v>
      </c>
    </row>
    <row r="228" spans="16384:16384" x14ac:dyDescent="0.25">
      <c r="XFD228" s="26" t="s">
        <v>628</v>
      </c>
    </row>
    <row r="229" spans="16384:16384" x14ac:dyDescent="0.25">
      <c r="XFD229" s="26" t="s">
        <v>629</v>
      </c>
    </row>
    <row r="230" spans="16384:16384" x14ac:dyDescent="0.25">
      <c r="XFD230" s="26" t="s">
        <v>630</v>
      </c>
    </row>
    <row r="231" spans="16384:16384" x14ac:dyDescent="0.25">
      <c r="XFD231" s="26" t="s">
        <v>631</v>
      </c>
    </row>
    <row r="232" spans="16384:16384" x14ac:dyDescent="0.25">
      <c r="XFD232" s="26" t="s">
        <v>632</v>
      </c>
    </row>
    <row r="233" spans="16384:16384" x14ac:dyDescent="0.25">
      <c r="XFD233" s="26" t="s">
        <v>633</v>
      </c>
    </row>
    <row r="234" spans="16384:16384" x14ac:dyDescent="0.25">
      <c r="XFD234" s="26" t="s">
        <v>634</v>
      </c>
    </row>
    <row r="235" spans="16384:16384" x14ac:dyDescent="0.25">
      <c r="XFD235" s="26" t="s">
        <v>635</v>
      </c>
    </row>
    <row r="236" spans="16384:16384" x14ac:dyDescent="0.25">
      <c r="XFD236" s="26" t="s">
        <v>636</v>
      </c>
    </row>
    <row r="237" spans="16384:16384" x14ac:dyDescent="0.25">
      <c r="XFD237" s="26" t="s">
        <v>637</v>
      </c>
    </row>
    <row r="238" spans="16384:16384" x14ac:dyDescent="0.25">
      <c r="XFD238" s="26" t="s">
        <v>638</v>
      </c>
    </row>
    <row r="239" spans="16384:16384" x14ac:dyDescent="0.25">
      <c r="XFD239" s="26" t="s">
        <v>639</v>
      </c>
    </row>
    <row r="240" spans="16384:16384" x14ac:dyDescent="0.25">
      <c r="XFD240" s="26" t="s">
        <v>640</v>
      </c>
    </row>
    <row r="241" spans="16384:16384" x14ac:dyDescent="0.25">
      <c r="XFD241" s="26" t="s">
        <v>641</v>
      </c>
    </row>
    <row r="242" spans="16384:16384" x14ac:dyDescent="0.25">
      <c r="XFD242" s="26" t="s">
        <v>642</v>
      </c>
    </row>
    <row r="243" spans="16384:16384" x14ac:dyDescent="0.25">
      <c r="XFD243" s="26" t="s">
        <v>643</v>
      </c>
    </row>
    <row r="244" spans="16384:16384" x14ac:dyDescent="0.25">
      <c r="XFD244" s="26" t="s">
        <v>644</v>
      </c>
    </row>
    <row r="245" spans="16384:16384" x14ac:dyDescent="0.25">
      <c r="XFD245" s="26" t="s">
        <v>645</v>
      </c>
    </row>
    <row r="246" spans="16384:16384" x14ac:dyDescent="0.25">
      <c r="XFD246" s="26" t="s">
        <v>646</v>
      </c>
    </row>
    <row r="247" spans="16384:16384" x14ac:dyDescent="0.25">
      <c r="XFD247" s="26" t="s">
        <v>647</v>
      </c>
    </row>
    <row r="248" spans="16384:16384" x14ac:dyDescent="0.25">
      <c r="XFD248" s="26" t="s">
        <v>648</v>
      </c>
    </row>
    <row r="249" spans="16384:16384" x14ac:dyDescent="0.25">
      <c r="XFD249" s="26" t="s">
        <v>649</v>
      </c>
    </row>
    <row r="250" spans="16384:16384" x14ac:dyDescent="0.25">
      <c r="XFD250" s="26" t="s">
        <v>650</v>
      </c>
    </row>
    <row r="251" spans="16384:16384" x14ac:dyDescent="0.25">
      <c r="XFD251" s="26" t="s">
        <v>651</v>
      </c>
    </row>
  </sheetData>
  <sheetProtection sheet="1" objects="1" scenarios="1"/>
  <mergeCells count="5">
    <mergeCell ref="A1:B1"/>
    <mergeCell ref="D1:E1"/>
    <mergeCell ref="G1:I1"/>
    <mergeCell ref="K1:T1"/>
    <mergeCell ref="V1:W1"/>
  </mergeCells>
  <dataValidations count="2">
    <dataValidation type="list" allowBlank="1" showInputMessage="1" showErrorMessage="1" sqref="Q3:Q100">
      <formula1>SList</formula1>
    </dataValidation>
    <dataValidation type="list" allowBlank="1" showInputMessage="1" showErrorMessage="1" sqref="R3:R100">
      <formula1>CList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Balance Sheet</vt:lpstr>
      <vt:lpstr>Manufacturing Account</vt:lpstr>
      <vt:lpstr>Trading Account</vt:lpstr>
      <vt:lpstr>Trading Other Details</vt:lpstr>
      <vt:lpstr>Profit and Loss Account</vt:lpstr>
      <vt:lpstr>P&amp;L Other Details</vt:lpstr>
      <vt:lpstr>CList</vt:lpstr>
      <vt:lpstr>SList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s13</dc:creator>
  <cp:lastModifiedBy>User</cp:lastModifiedBy>
  <dcterms:created xsi:type="dcterms:W3CDTF">2024-08-16T09:48:31Z</dcterms:created>
  <dcterms:modified xsi:type="dcterms:W3CDTF">2026-07-08T13:53:18Z</dcterms:modified>
</cp:coreProperties>
</file>
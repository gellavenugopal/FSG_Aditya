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2025-26\Level wise\ITR Affected Accounts\Company\"/>
    </mc:Choice>
  </mc:AlternateContent>
  <bookViews>
    <workbookView xWindow="-120" yWindow="-120" windowWidth="20730" windowHeight="11160"/>
  </bookViews>
  <sheets>
    <sheet name="Balance Sheet" sheetId="1" r:id="rId1"/>
    <sheet name="Other reserve" sheetId="2" r:id="rId2"/>
    <sheet name="Manufacturing Account" sheetId="3" r:id="rId3"/>
    <sheet name="Trading Account" sheetId="4" r:id="rId4"/>
    <sheet name="Trading Other Details" sheetId="5" r:id="rId5"/>
    <sheet name="Profit and Loss Account" sheetId="7" r:id="rId6"/>
    <sheet name="P&amp;L Other Details" sheetId="8" r:id="rId7"/>
  </sheets>
  <definedNames>
    <definedName name="CList">'P&amp;L Other Details'!$XFD$2:$XFD$251</definedName>
    <definedName name="SList">'P&amp;L Other Details'!$XFC$2:$XFC$42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7" l="1"/>
  <c r="I87" i="7"/>
  <c r="I86" i="7"/>
  <c r="K84" i="7"/>
  <c r="I14" i="7"/>
  <c r="K15" i="7" s="1"/>
  <c r="K111" i="7"/>
  <c r="K96" i="7"/>
  <c r="K82" i="7"/>
  <c r="K60" i="7"/>
  <c r="K56" i="7"/>
  <c r="K52" i="7"/>
  <c r="K42" i="7"/>
  <c r="K35" i="7"/>
  <c r="I28" i="4"/>
  <c r="K25" i="4" s="1"/>
  <c r="I6" i="4"/>
  <c r="K7" i="4" s="1"/>
  <c r="K41" i="4"/>
  <c r="K18" i="4"/>
  <c r="K23" i="3"/>
  <c r="K18" i="3"/>
  <c r="K7" i="3"/>
  <c r="K4" i="3"/>
  <c r="K19" i="3" s="1"/>
  <c r="K24" i="3" s="1"/>
  <c r="K42" i="4" s="1"/>
  <c r="K19" i="4" l="1"/>
  <c r="K21" i="4" s="1"/>
  <c r="K89" i="7"/>
  <c r="K43" i="4"/>
  <c r="K2" i="7" s="1"/>
  <c r="K16" i="7" s="1"/>
  <c r="K92" i="7" s="1"/>
  <c r="K98" i="7" s="1"/>
  <c r="K102" i="7" s="1"/>
  <c r="K104" i="7" s="1"/>
  <c r="K112" i="7" s="1"/>
  <c r="I15" i="1"/>
  <c r="K17" i="1" s="1"/>
  <c r="K177" i="1"/>
  <c r="K173" i="1"/>
  <c r="K167" i="1"/>
  <c r="K163" i="1"/>
  <c r="I147" i="1"/>
  <c r="K154" i="1" s="1"/>
  <c r="I137" i="1"/>
  <c r="K139" i="1" s="1"/>
  <c r="K127" i="1"/>
  <c r="I113" i="1"/>
  <c r="K120" i="1" s="1"/>
  <c r="I104" i="1"/>
  <c r="I99" i="1"/>
  <c r="K107" i="1" s="1"/>
  <c r="K61" i="1"/>
  <c r="K89" i="1"/>
  <c r="K82" i="1"/>
  <c r="K70" i="1"/>
  <c r="K66" i="1"/>
  <c r="K52" i="1"/>
  <c r="K48" i="1"/>
  <c r="I35" i="1"/>
  <c r="K36" i="1" s="1"/>
  <c r="K29" i="1"/>
  <c r="K23" i="1"/>
  <c r="K7" i="1"/>
  <c r="K183" i="1" l="1"/>
  <c r="K141" i="1"/>
  <c r="K90" i="1"/>
  <c r="K43" i="1"/>
  <c r="K53" i="1" s="1"/>
  <c r="K19" i="1"/>
  <c r="K184" i="1" l="1"/>
  <c r="K91" i="1"/>
</calcChain>
</file>

<file path=xl/sharedStrings.xml><?xml version="1.0" encoding="utf-8"?>
<sst xmlns="http://schemas.openxmlformats.org/spreadsheetml/2006/main" count="1244" uniqueCount="762">
  <si>
    <t>I</t>
  </si>
  <si>
    <t>EQUITY AND LIABILITIES</t>
  </si>
  <si>
    <t>Shareholder’s fund</t>
  </si>
  <si>
    <t>A</t>
  </si>
  <si>
    <t>Share capital</t>
  </si>
  <si>
    <t>i</t>
  </si>
  <si>
    <t>Authorised</t>
  </si>
  <si>
    <t>ii</t>
  </si>
  <si>
    <t>iii</t>
  </si>
  <si>
    <t>iv</t>
  </si>
  <si>
    <t>Issued, Subscribed and fully Paid up</t>
  </si>
  <si>
    <t>Subscribed but not fully paid</t>
  </si>
  <si>
    <t>Total ( Aii +Aiii )</t>
  </si>
  <si>
    <t>B</t>
  </si>
  <si>
    <t>Reserves and Surplus</t>
  </si>
  <si>
    <t>v</t>
  </si>
  <si>
    <t>vi</t>
  </si>
  <si>
    <t>vii</t>
  </si>
  <si>
    <t>a</t>
  </si>
  <si>
    <t>b</t>
  </si>
  <si>
    <t>c</t>
  </si>
  <si>
    <t>viii</t>
  </si>
  <si>
    <t>ix</t>
  </si>
  <si>
    <t>Capital Reserve</t>
  </si>
  <si>
    <t>Capital Redemption Reserve</t>
  </si>
  <si>
    <t>Securities Premium Reserve</t>
  </si>
  <si>
    <t>Debentures Redemption Reserve</t>
  </si>
  <si>
    <t>Revaluation Reserve</t>
  </si>
  <si>
    <t>Share options outstanding amount</t>
  </si>
  <si>
    <t>Other reserve (specify nature and amount)</t>
  </si>
  <si>
    <r>
      <t xml:space="preserve">Surplus i.e. Balance in profit and loss account </t>
    </r>
    <r>
      <rPr>
        <i/>
        <sz val="8"/>
        <color theme="1"/>
        <rFont val="Arial"/>
        <family val="2"/>
      </rPr>
      <t>(Debit balance to be shown as –ve figure)</t>
    </r>
  </si>
  <si>
    <t xml:space="preserve">Total ( Bi + Bii + Biii + Biv + Bv + Bvi + Bvii + Bviii) </t>
  </si>
  <si>
    <t>C</t>
  </si>
  <si>
    <t>Money received against share warrants</t>
  </si>
  <si>
    <t>D</t>
  </si>
  <si>
    <t>Total Shareholder’s fund ( Aiv + Bix + 1C )</t>
  </si>
  <si>
    <t>Share application money pending allotment</t>
  </si>
  <si>
    <t>Pending for less than one year</t>
  </si>
  <si>
    <t>Pending for more than one year</t>
  </si>
  <si>
    <t>Total ( i + ii )</t>
  </si>
  <si>
    <t>Non-current liabilities</t>
  </si>
  <si>
    <t>Long-term borrowings</t>
  </si>
  <si>
    <t>Bond / debentures</t>
  </si>
  <si>
    <t>Foreign currency</t>
  </si>
  <si>
    <t>Rupee</t>
  </si>
  <si>
    <t>Total ( ia + ib )</t>
  </si>
  <si>
    <t>Term loans</t>
  </si>
  <si>
    <t>Rupee loans</t>
  </si>
  <si>
    <t>From Banks</t>
  </si>
  <si>
    <t>From others</t>
  </si>
  <si>
    <t>Total ( b1 + b2 )</t>
  </si>
  <si>
    <t>Total Term loans ( iia + b3 )</t>
  </si>
  <si>
    <t>Deferred payment liabilities</t>
  </si>
  <si>
    <r>
      <t xml:space="preserve">Deposits from related parties </t>
    </r>
    <r>
      <rPr>
        <i/>
        <sz val="8"/>
        <color theme="1"/>
        <rFont val="Arial"/>
        <family val="2"/>
      </rPr>
      <t>(see instructions)</t>
    </r>
  </si>
  <si>
    <t>Other deposits</t>
  </si>
  <si>
    <r>
      <t xml:space="preserve">Loans and advances from related parties </t>
    </r>
    <r>
      <rPr>
        <i/>
        <sz val="8"/>
        <color theme="1"/>
        <rFont val="Arial"/>
        <family val="2"/>
      </rPr>
      <t>(see instructions)</t>
    </r>
  </si>
  <si>
    <t>Other loans and advances</t>
  </si>
  <si>
    <t>Long term maturities of finance lease obligations</t>
  </si>
  <si>
    <t>Total Long term borrowings ( ic + iic + iii + iv + v + vi + vii + viii)</t>
  </si>
  <si>
    <t>Deferred tax liabilities (net)</t>
  </si>
  <si>
    <t>Other long-term liabilities</t>
  </si>
  <si>
    <t>Trade payables</t>
  </si>
  <si>
    <t>Others</t>
  </si>
  <si>
    <t>Total Other long-term liabilities ( i + ii )</t>
  </si>
  <si>
    <t>Long-term provisions</t>
  </si>
  <si>
    <t>Provision for employee benefits</t>
  </si>
  <si>
    <t>E</t>
  </si>
  <si>
    <t>Total Non-current liabilities ( 3A + 3B + 3C + 3D )</t>
  </si>
  <si>
    <t>Current liabilities</t>
  </si>
  <si>
    <t>Short-term borrowings</t>
  </si>
  <si>
    <t>Loans repayable on demand</t>
  </si>
  <si>
    <t>d</t>
  </si>
  <si>
    <t>e</t>
  </si>
  <si>
    <t>From Non-Banking Finance Companies</t>
  </si>
  <si>
    <t>From other financial institutions</t>
  </si>
  <si>
    <t>Total Loans repayable on demand ( ia + ib + ic + id )</t>
  </si>
  <si>
    <t>Total Short-term borrowings ( ie + ii + iii + iv + v )</t>
  </si>
  <si>
    <t>Outstanding for more than 1 year</t>
  </si>
  <si>
    <t>Total Trade payables ( i + ii )</t>
  </si>
  <si>
    <t>Other current liabilities</t>
  </si>
  <si>
    <t>x</t>
  </si>
  <si>
    <t>xi</t>
  </si>
  <si>
    <t>Current maturities of long-term debt</t>
  </si>
  <si>
    <t>Current maturities of finance lease obligations</t>
  </si>
  <si>
    <t>Interest accrued but not due on borrowings</t>
  </si>
  <si>
    <t>Interest accrued and due on borrowings</t>
  </si>
  <si>
    <t>Income received in advance</t>
  </si>
  <si>
    <t>Unpaid dividends</t>
  </si>
  <si>
    <t>Application money received for allotment of securities and due for refund and interest accrued</t>
  </si>
  <si>
    <t>Unpaid matured deposits and interest accrued thereon</t>
  </si>
  <si>
    <t>Unpaid matured debentures and interest accrued thereon</t>
  </si>
  <si>
    <t>Other payables</t>
  </si>
  <si>
    <t>Total Other current liabilities ( i + ii + iii + iv + v + vi + vii + viii + ix + x )</t>
  </si>
  <si>
    <t>Short-term provisions</t>
  </si>
  <si>
    <t>Provision for employee benefit</t>
  </si>
  <si>
    <t>Provision for Income-tax</t>
  </si>
  <si>
    <t>Proposed Dividend</t>
  </si>
  <si>
    <t>Tax on dividend</t>
  </si>
  <si>
    <t>Other</t>
  </si>
  <si>
    <t>Total Short-term provisions ( i + ii + iii + iv + v )</t>
  </si>
  <si>
    <t>Total Current liabilities ( 4A + 4B + 4C + 4D )</t>
  </si>
  <si>
    <t>Total Equity and liabilities ( 1D + 2 + 3E + 4E )</t>
  </si>
  <si>
    <t>II</t>
  </si>
  <si>
    <t>ASSETS</t>
  </si>
  <si>
    <t>Non-current assets</t>
  </si>
  <si>
    <t>Fixed assets</t>
  </si>
  <si>
    <t>Tangible assets</t>
  </si>
  <si>
    <t>Gross block</t>
  </si>
  <si>
    <t>Depreciation</t>
  </si>
  <si>
    <t>Impairment losses</t>
  </si>
  <si>
    <t>Net block ( ia – ib – ic )</t>
  </si>
  <si>
    <t>Intangible assets</t>
  </si>
  <si>
    <t>Amortization</t>
  </si>
  <si>
    <t>Net block ( iia – iib – iic )</t>
  </si>
  <si>
    <t>Capital work-in-progress</t>
  </si>
  <si>
    <t>Intangible assets under development</t>
  </si>
  <si>
    <t>Total Fixed assets ( id + iid + iii + iv )</t>
  </si>
  <si>
    <t>Non-current investments</t>
  </si>
  <si>
    <t>Investment in property</t>
  </si>
  <si>
    <t>Investments in Equity instruments</t>
  </si>
  <si>
    <t>Listed equities</t>
  </si>
  <si>
    <t>Unlisted equities</t>
  </si>
  <si>
    <t>Total (iia + iib)</t>
  </si>
  <si>
    <t>Investments in Preference shares</t>
  </si>
  <si>
    <t>Investments in Government or trust securities</t>
  </si>
  <si>
    <t>Investments in Debenture or bonds</t>
  </si>
  <si>
    <t>Investments in Mutual funds</t>
  </si>
  <si>
    <t>Investments in Partnership firms</t>
  </si>
  <si>
    <t>Others Investments</t>
  </si>
  <si>
    <t>Total Non-current investments( i + iic + iii + iv + v + vi + vii + viii )</t>
  </si>
  <si>
    <t>Deferred tax assets (net)</t>
  </si>
  <si>
    <t>Long-term loans and advances</t>
  </si>
  <si>
    <t>Capital advances</t>
  </si>
  <si>
    <t>Security deposits</t>
  </si>
  <si>
    <r>
      <t xml:space="preserve">Loans and advances to related parties </t>
    </r>
    <r>
      <rPr>
        <i/>
        <sz val="8"/>
        <color theme="1"/>
        <rFont val="Arial"/>
        <family val="2"/>
      </rPr>
      <t>(see instructions)</t>
    </r>
  </si>
  <si>
    <t>Other Loans and advances</t>
  </si>
  <si>
    <t>Total Long-term loans and advances ( i + ii + iii + iv )</t>
  </si>
  <si>
    <t>Long-term loans and advances included in Dv which is</t>
  </si>
  <si>
    <t>for the purpose of business or profession</t>
  </si>
  <si>
    <t>not for the purpose of business or profession</t>
  </si>
  <si>
    <t>given to shareholder, being the beneficial owner of share, or to any concern or on behalf/benefit of such shareholder as per section 2(22)(e) of I.T. Act</t>
  </si>
  <si>
    <t>Other non-current assets</t>
  </si>
  <si>
    <t>Long-term trade receivables</t>
  </si>
  <si>
    <t>Secured, considered goods</t>
  </si>
  <si>
    <t>Unsecured, considered goods</t>
  </si>
  <si>
    <t>Doubtful</t>
  </si>
  <si>
    <t>Total Other non-current assets ( ia + ib + ic )</t>
  </si>
  <si>
    <t>Total ( id + ii )</t>
  </si>
  <si>
    <t>Non-current assets included in Eiii which is due from shareholder, being the beneficial owner of share, or from any concern or on behalf/benefit of such shareholder as per section 2(22)(e) of I.T. Act</t>
  </si>
  <si>
    <t>F</t>
  </si>
  <si>
    <t>Total Non-current assets ( Av + Bix + C + Dv + Eiii )</t>
  </si>
  <si>
    <t>Current assets</t>
  </si>
  <si>
    <t>Current investments</t>
  </si>
  <si>
    <t>Investment in Equity instruments</t>
  </si>
  <si>
    <t>Investment in Preference shares</t>
  </si>
  <si>
    <t>Investment in government or trust securities</t>
  </si>
  <si>
    <t>Investment in Debenture or bonds</t>
  </si>
  <si>
    <t>Investment in Mutual funds</t>
  </si>
  <si>
    <t>Investment in partnership firms</t>
  </si>
  <si>
    <t>Other investment</t>
  </si>
  <si>
    <t>Total Current investments( ic + ii + iii + iv + v + vi + vii )</t>
  </si>
  <si>
    <t>Inventories</t>
  </si>
  <si>
    <t>Raw materials</t>
  </si>
  <si>
    <t>Work-in-progress</t>
  </si>
  <si>
    <t>Finished goods</t>
  </si>
  <si>
    <t>Stock-in-trade (in respect of goods acquired for trading)</t>
  </si>
  <si>
    <t>Stores and spares</t>
  </si>
  <si>
    <t>Loose tools</t>
  </si>
  <si>
    <t>Total Inventories ( i + ii + iii + iv + v + vi + vii )</t>
  </si>
  <si>
    <t>Trade receivables</t>
  </si>
  <si>
    <t>Outstanding for more than 6 months</t>
  </si>
  <si>
    <t>Total Trade receivables ( i + ii )</t>
  </si>
  <si>
    <t>Cash and cash equivalents</t>
  </si>
  <si>
    <t>Balance with banks</t>
  </si>
  <si>
    <t>Cheques, drafts in hand</t>
  </si>
  <si>
    <t>Cash in hand</t>
  </si>
  <si>
    <t>Total Cash and cash equivalents ( i + ii + iii + iv )</t>
  </si>
  <si>
    <t>Short-term loans and advances</t>
  </si>
  <si>
    <t>Total Short-term loans and advances ( i + ii )</t>
  </si>
  <si>
    <t>Short-term loans and advances included in Eiii which is</t>
  </si>
  <si>
    <t>Other current assets</t>
  </si>
  <si>
    <t>G</t>
  </si>
  <si>
    <t>Total Current assets ( Aviii + Bviii + Ciii + Dv + Eiii + F )</t>
  </si>
  <si>
    <t>Total Assets ( 1F + 2G )</t>
  </si>
  <si>
    <t>Ai</t>
  </si>
  <si>
    <t>Aii</t>
  </si>
  <si>
    <t>Aiii</t>
  </si>
  <si>
    <t>Aiv</t>
  </si>
  <si>
    <t>Bi</t>
  </si>
  <si>
    <t>bii</t>
  </si>
  <si>
    <t>biii</t>
  </si>
  <si>
    <t>biv</t>
  </si>
  <si>
    <t>bv</t>
  </si>
  <si>
    <t>bvi</t>
  </si>
  <si>
    <t>bvii</t>
  </si>
  <si>
    <t>bviii</t>
  </si>
  <si>
    <t>bix</t>
  </si>
  <si>
    <t>1C</t>
  </si>
  <si>
    <t>1D</t>
  </si>
  <si>
    <t>ia</t>
  </si>
  <si>
    <t>ib</t>
  </si>
  <si>
    <t>ic</t>
  </si>
  <si>
    <t>iia</t>
  </si>
  <si>
    <t>b1</t>
  </si>
  <si>
    <t>b2</t>
  </si>
  <si>
    <t>b3</t>
  </si>
  <si>
    <t>iic</t>
  </si>
  <si>
    <t>3A</t>
  </si>
  <si>
    <t>3B</t>
  </si>
  <si>
    <t>3C</t>
  </si>
  <si>
    <t>3D</t>
  </si>
  <si>
    <t>3E</t>
  </si>
  <si>
    <t>id</t>
  </si>
  <si>
    <t>ie</t>
  </si>
  <si>
    <t>4A</t>
  </si>
  <si>
    <t>4B</t>
  </si>
  <si>
    <t>4C</t>
  </si>
  <si>
    <t>4D</t>
  </si>
  <si>
    <t>4E</t>
  </si>
  <si>
    <t>iib</t>
  </si>
  <si>
    <t>iid</t>
  </si>
  <si>
    <t>Av</t>
  </si>
  <si>
    <t>Bix</t>
  </si>
  <si>
    <t>Dv</t>
  </si>
  <si>
    <t>via</t>
  </si>
  <si>
    <t>vib</t>
  </si>
  <si>
    <t>vic</t>
  </si>
  <si>
    <t>Eiii</t>
  </si>
  <si>
    <t>1F</t>
  </si>
  <si>
    <t>Aviii</t>
  </si>
  <si>
    <t>Bviii</t>
  </si>
  <si>
    <t>Ciii</t>
  </si>
  <si>
    <t>iva</t>
  </si>
  <si>
    <t>ivb</t>
  </si>
  <si>
    <t>ivc</t>
  </si>
  <si>
    <t>2G</t>
  </si>
  <si>
    <t>Particulars</t>
  </si>
  <si>
    <t>Amount</t>
  </si>
  <si>
    <t>Opening Inventory</t>
  </si>
  <si>
    <t>Opening stock of raw-material</t>
  </si>
  <si>
    <t>Opening stock of Work in progress</t>
  </si>
  <si>
    <t>Total (i + ii)</t>
  </si>
  <si>
    <t>Purchases (net of refunds and duty or tax, if any)</t>
  </si>
  <si>
    <t>Direct wages</t>
  </si>
  <si>
    <t>Direct expenses ( Di + Dii + Diii )</t>
  </si>
  <si>
    <t>Carriage inward</t>
  </si>
  <si>
    <t>Power and fuel</t>
  </si>
  <si>
    <t>Other direct expenses</t>
  </si>
  <si>
    <t>Factory Overheads</t>
  </si>
  <si>
    <t>Indirect wages</t>
  </si>
  <si>
    <t>Factory rent and rates</t>
  </si>
  <si>
    <t>Factory Insurance</t>
  </si>
  <si>
    <t>Factory fuel and power</t>
  </si>
  <si>
    <t>Factory general expenses</t>
  </si>
  <si>
    <t>Depreciation of factory machinery</t>
  </si>
  <si>
    <t>Total ( i + ii + iii + iv + v + vi )</t>
  </si>
  <si>
    <t>Evii</t>
  </si>
  <si>
    <t>Total of Debits to Manufacturing Account ( Aiii + B + C + D + Evii )</t>
  </si>
  <si>
    <t>Closing Stock</t>
  </si>
  <si>
    <t>Raw material</t>
  </si>
  <si>
    <t>2i</t>
  </si>
  <si>
    <t>2ii</t>
  </si>
  <si>
    <t>Total ( 2i + 2ii )</t>
  </si>
  <si>
    <t>Cost of Goods Produced – transferred to Trading Account ( 1F – 2 )</t>
  </si>
  <si>
    <t>CREDITS TO TRADING ACCOUNT</t>
  </si>
  <si>
    <t>Revenue from operations</t>
  </si>
  <si>
    <t>Sales/Gross receipts of business (net of returns and refunds and duty or tax, if any)</t>
  </si>
  <si>
    <t>Sale of goods</t>
  </si>
  <si>
    <t>Sale of services</t>
  </si>
  <si>
    <t>Other operating revenues (specify nature and amount)</t>
  </si>
  <si>
    <t>Total ( i + ii + iiic )</t>
  </si>
  <si>
    <t>Gross receipts from Profession</t>
  </si>
  <si>
    <t>Duties, taxes and cess, received or receivable, in respect of goods and services sold or supplied</t>
  </si>
  <si>
    <t>Union Excise duties</t>
  </si>
  <si>
    <t>Service tax</t>
  </si>
  <si>
    <t>VAT/Sales tax</t>
  </si>
  <si>
    <t>Central Goods &amp; Service Tax (CGST)</t>
  </si>
  <si>
    <t>State Goods &amp; Services Tax (SGST)</t>
  </si>
  <si>
    <t>Integrated Goods &amp; Services Tax (IGST)</t>
  </si>
  <si>
    <t>Union Territory Goods &amp; Services Tax (UTGST)</t>
  </si>
  <si>
    <t>Any other duty, tax and cess</t>
  </si>
  <si>
    <t>Total ( i + ii + iii + iv + v + vi + vii + viii )</t>
  </si>
  <si>
    <t>Cix</t>
  </si>
  <si>
    <t>Total Revenue from operations ( Aiv + B + Cix )</t>
  </si>
  <si>
    <t>Closing Stock of Finished Stocks</t>
  </si>
  <si>
    <t>Total of credits to Trading Account ( 4D + 5 )</t>
  </si>
  <si>
    <t>DEBITS TO TRADING ACCOUNT</t>
  </si>
  <si>
    <t>Opening Stock of Finished Goods 7</t>
  </si>
  <si>
    <t>Direct Expenses (9i + 9ii + 9iii)</t>
  </si>
  <si>
    <t>9i</t>
  </si>
  <si>
    <t>9ii</t>
  </si>
  <si>
    <t>Other direct expenses (specify nature and amount)</t>
  </si>
  <si>
    <t>9iii</t>
  </si>
  <si>
    <t>Duties and taxes, paid or payable, in respect of goods and services purchased</t>
  </si>
  <si>
    <t>xii</t>
  </si>
  <si>
    <t>10i</t>
  </si>
  <si>
    <t>10ii</t>
  </si>
  <si>
    <t>10iii</t>
  </si>
  <si>
    <t>10iv</t>
  </si>
  <si>
    <t>10v</t>
  </si>
  <si>
    <t>10vi</t>
  </si>
  <si>
    <t>10vii</t>
  </si>
  <si>
    <t>10viii</t>
  </si>
  <si>
    <t>10ix</t>
  </si>
  <si>
    <t>10x</t>
  </si>
  <si>
    <t>10xi</t>
  </si>
  <si>
    <t>Custom duty</t>
  </si>
  <si>
    <t>Counter vailing duty</t>
  </si>
  <si>
    <t>Special additional duty</t>
  </si>
  <si>
    <t>Union excise duty</t>
  </si>
  <si>
    <t>Any other tax, paid or payable</t>
  </si>
  <si>
    <t>Total ( 10i + 10ii + 10iii + 10iv + 10v + 10vi + 10vii + 10viii + 10ix + 10x + 10xi )</t>
  </si>
  <si>
    <t>10xii</t>
  </si>
  <si>
    <t>Cost of goods produced – Transferred from Manufacturing Account</t>
  </si>
  <si>
    <t>Gross Profit from Business/Profession - transferred to Profit and Loss account ( 6 – 7 – 8 – 9 - 10xii -11 )</t>
  </si>
  <si>
    <t>12a</t>
  </si>
  <si>
    <t>12b</t>
  </si>
  <si>
    <t>Turnover from Intraday Trading</t>
  </si>
  <si>
    <t>Income from Intraday Trading</t>
  </si>
  <si>
    <t>CREDITS TO PROFIT AND LOSS ACCOUNT</t>
  </si>
  <si>
    <t>Gross profit transferred from Trading Account</t>
  </si>
  <si>
    <t>Other income</t>
  </si>
  <si>
    <t>Rent</t>
  </si>
  <si>
    <t>Commission</t>
  </si>
  <si>
    <t>Dividend income</t>
  </si>
  <si>
    <t>Interest income</t>
  </si>
  <si>
    <t>Profit on sale of fixed assets</t>
  </si>
  <si>
    <t>Profit on sale of investment being securities chargeable to Securities Transaction Tax (STT)</t>
  </si>
  <si>
    <t>Profit on sale of other investment</t>
  </si>
  <si>
    <t>Gain (loss) on account of foreign exchange fluctuation u/s 43AA</t>
  </si>
  <si>
    <t xml:space="preserve">Profit on conversion of inventory into capital asset u/s 28(via)
(Fair Market Value of inventory as on the date of conversion)
</t>
  </si>
  <si>
    <t>Agriculture income</t>
  </si>
  <si>
    <t>Any other income (specify nature and amount)</t>
  </si>
  <si>
    <t>Total of other income ( i + ii + iii + iv + v + vi + vii + viii + ix + x + xic )</t>
  </si>
  <si>
    <t>14xii</t>
  </si>
  <si>
    <t>Total of credits to profit and loss account (13+14xii)</t>
  </si>
  <si>
    <t>DEBITS TO PROFIT AND LOSS ACCOUNT</t>
  </si>
  <si>
    <t>Freight outward</t>
  </si>
  <si>
    <t>Consumption of stores and spare parts</t>
  </si>
  <si>
    <t>Rents</t>
  </si>
  <si>
    <t>Repairs to building</t>
  </si>
  <si>
    <t>Repairs to machinery</t>
  </si>
  <si>
    <t>Compensation to employees</t>
  </si>
  <si>
    <t>Salaries and wages</t>
  </si>
  <si>
    <t>Bonus</t>
  </si>
  <si>
    <t>Reimbursement of medical expenses</t>
  </si>
  <si>
    <t>22i</t>
  </si>
  <si>
    <t>22ii</t>
  </si>
  <si>
    <t>22iii</t>
  </si>
  <si>
    <t>22iv</t>
  </si>
  <si>
    <t>22v</t>
  </si>
  <si>
    <t>22vi</t>
  </si>
  <si>
    <t>22vii</t>
  </si>
  <si>
    <t>22viii</t>
  </si>
  <si>
    <t>22ix</t>
  </si>
  <si>
    <t>22x</t>
  </si>
  <si>
    <t>Leave encashment</t>
  </si>
  <si>
    <t>Leave travel benefits</t>
  </si>
  <si>
    <t>Contribution to approved superannuation fund</t>
  </si>
  <si>
    <t>Contribution to recognised provident fund</t>
  </si>
  <si>
    <t>Contribution to recognised gratuity fund</t>
  </si>
  <si>
    <t>Contribution to any other fund</t>
  </si>
  <si>
    <t>Any other benefit to employees in respect of which an expenditure has been incurred</t>
  </si>
  <si>
    <t>Total compensation to employees (total of 22i to 22x)</t>
  </si>
  <si>
    <t>22xi</t>
  </si>
  <si>
    <t>Any compensation amount , included in 22xi, paid to non-residents</t>
  </si>
  <si>
    <t>Insurance</t>
  </si>
  <si>
    <t>Medical Insurance</t>
  </si>
  <si>
    <t>Life Insurance</t>
  </si>
  <si>
    <t>Keyman's Insurance</t>
  </si>
  <si>
    <t>Other Insurance including factory, office, car, goods etc.</t>
  </si>
  <si>
    <t>Total expenditure on insurance ( 23i + 23ii + 23iii + 23iv )</t>
  </si>
  <si>
    <t>23i</t>
  </si>
  <si>
    <t>23ii</t>
  </si>
  <si>
    <t>23iii</t>
  </si>
  <si>
    <t>23iv</t>
  </si>
  <si>
    <t>23v</t>
  </si>
  <si>
    <t>Workmen and staff welfare expenses</t>
  </si>
  <si>
    <t>Entertainment</t>
  </si>
  <si>
    <t>Hospitality</t>
  </si>
  <si>
    <t>Conference</t>
  </si>
  <si>
    <t>Sales promotion including publicity (other than advertisement)</t>
  </si>
  <si>
    <t>Advertisement</t>
  </si>
  <si>
    <t>30iii</t>
  </si>
  <si>
    <t>Paid outside India, or paid in India to a non-resident other than a company or a foreign company</t>
  </si>
  <si>
    <t>To others</t>
  </si>
  <si>
    <t>Royalty</t>
  </si>
  <si>
    <t>31iii</t>
  </si>
  <si>
    <t>Professional / Consultancy fees / Fee for technical services</t>
  </si>
  <si>
    <t>32iii</t>
  </si>
  <si>
    <t>Hotel, boarding and Lodging</t>
  </si>
  <si>
    <t>Traveling expenses other than on foreign traveling</t>
  </si>
  <si>
    <t>Foreign traveling expenses</t>
  </si>
  <si>
    <t>Conveyance expenses</t>
  </si>
  <si>
    <t>Telephone expenses</t>
  </si>
  <si>
    <t>Guest House expenses</t>
  </si>
  <si>
    <t>Club expenses</t>
  </si>
  <si>
    <t>Festival celebration expenses</t>
  </si>
  <si>
    <t>Scholarship</t>
  </si>
  <si>
    <t>Gift</t>
  </si>
  <si>
    <t>Donation</t>
  </si>
  <si>
    <t>Rates and taxes, paid or payable to Government or any local body (excluding taxes on income)</t>
  </si>
  <si>
    <t>Cess</t>
  </si>
  <si>
    <t>Any other rate, tax, duty or cess incl STT and CTT</t>
  </si>
  <si>
    <t>44i</t>
  </si>
  <si>
    <t>44ii</t>
  </si>
  <si>
    <t>44iii</t>
  </si>
  <si>
    <t>44iv</t>
  </si>
  <si>
    <t>44v</t>
  </si>
  <si>
    <t>44vi</t>
  </si>
  <si>
    <t>44vii</t>
  </si>
  <si>
    <t>44viii</t>
  </si>
  <si>
    <t>44ix</t>
  </si>
  <si>
    <t>Total rates and taxes paid or payable ( 44i + 44ii + 44iii + 44iv + 44v + 44vi + 44vii + 44viii + 44ix )</t>
  </si>
  <si>
    <t>44x</t>
  </si>
  <si>
    <t>Audit fee</t>
  </si>
  <si>
    <t>Other expenses (Specify amount and nature)</t>
  </si>
  <si>
    <t>Bad debts</t>
  </si>
  <si>
    <t>Total Bad Debt (47i + 47ii + 47iii )</t>
  </si>
  <si>
    <t>47iv</t>
  </si>
  <si>
    <t>47i</t>
  </si>
  <si>
    <t>47ii</t>
  </si>
  <si>
    <t>47iii</t>
  </si>
  <si>
    <t>Others (amounts less than Rs. 1 lakh)</t>
  </si>
  <si>
    <t>Bad Debt for amount of Rs. 1 lakh or more, where PAN is available</t>
  </si>
  <si>
    <t>Bad Debt for amount of Rs. 1 lakh or more, where PAN is not available (provide name and complete address)</t>
  </si>
  <si>
    <t>Provision for bad and doubtful debts</t>
  </si>
  <si>
    <t>Other provisions</t>
  </si>
  <si>
    <t>Profit before interest, depreciation and taxes [15 – (16 to 21 + 22xi + 23v + 24 to 29 + 30iii + 31iii + 32iii + 33 to 43 + 44x + 45 + 46iii + 47iv + 48 + 49)]</t>
  </si>
  <si>
    <t>51iii</t>
  </si>
  <si>
    <t>Interest</t>
  </si>
  <si>
    <t>Depreciation and amoritisation</t>
  </si>
  <si>
    <t>Profit before taxes (50-51iii-52)</t>
  </si>
  <si>
    <t>PROVISIONS FOR TAX AND APPROPRIATIONS</t>
  </si>
  <si>
    <t>Provision for current tax</t>
  </si>
  <si>
    <t>Provision for Deferred Tax and deferred liability</t>
  </si>
  <si>
    <t>Profit after tax (53-54-55)</t>
  </si>
  <si>
    <t>Balance brought forward from previous year</t>
  </si>
  <si>
    <t>Amount available for appropriation (56+57)</t>
  </si>
  <si>
    <t>59i</t>
  </si>
  <si>
    <t>59ii</t>
  </si>
  <si>
    <t>59iii</t>
  </si>
  <si>
    <t>59iv</t>
  </si>
  <si>
    <t>59v</t>
  </si>
  <si>
    <t>Transfer to reserves and surplus</t>
  </si>
  <si>
    <t>Proposed dividend / Interim dividend</t>
  </si>
  <si>
    <t>Tax on dividend / Tax on dividend for earlier years</t>
  </si>
  <si>
    <t>Appropriation towards Corporate Social Responsibility (CSR) activities (in case of companies covered under section 135 of Companies Act, 2013)</t>
  </si>
  <si>
    <t>Any other appropriation</t>
  </si>
  <si>
    <t>Total ( 59i + 59ii + 59iii + 59iv + 59v )</t>
  </si>
  <si>
    <t>59vi</t>
  </si>
  <si>
    <t>Balance carried to balance sheet (58-59vi)</t>
  </si>
  <si>
    <t>PAN of person</t>
  </si>
  <si>
    <t>AADHAAR of person</t>
  </si>
  <si>
    <t>Name of person</t>
  </si>
  <si>
    <t>Flat/ Door /Block No.</t>
  </si>
  <si>
    <t>Name of premises/ building/ village</t>
  </si>
  <si>
    <t>Road/ Street/ Post office</t>
  </si>
  <si>
    <t>Town/ City/ District</t>
  </si>
  <si>
    <t>State</t>
  </si>
  <si>
    <t>Country</t>
  </si>
  <si>
    <t>PIN/ZIP Code</t>
  </si>
  <si>
    <t>Liabilities written back</t>
  </si>
  <si>
    <t>Area/ Locality</t>
  </si>
  <si>
    <t>Appropriations</t>
  </si>
  <si>
    <t>STATE</t>
  </si>
  <si>
    <t>COUNTRY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</si>
  <si>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</si>
  <si>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</si>
  <si>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</si>
  <si>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</si>
  <si>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</si>
  <si>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</si>
  <si>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</si>
  <si>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</si>
  <si>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</si>
  <si>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</si>
  <si>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</si>
  <si>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</si>
  <si>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</si>
  <si>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</si>
  <si>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</si>
  <si>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</si>
  <si>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LAKHSWADEEP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</si>
  <si>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</si>
  <si>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</si>
  <si>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</si>
  <si>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</si>
  <si>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</si>
  <si>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</si>
  <si>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</si>
  <si>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ORISSA</t>
  </si>
  <si>
    <t>PUDUCHERRY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</si>
  <si>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</si>
  <si>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</si>
  <si>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</si>
  <si>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</si>
  <si>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</si>
  <si>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</si>
  <si>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</si>
  <si>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</si>
  <si>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</si>
  <si>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</si>
  <si>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UTTARANCHAL</t>
  </si>
  <si>
    <t>JHARKHAND</t>
  </si>
  <si>
    <t>TELANGANA</t>
  </si>
  <si>
    <t>LADAKH</t>
  </si>
  <si>
    <t>STATE OUTSIDE INDIA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</si>
  <si>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</si>
  <si>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</si>
  <si>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</si>
  <si>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</si>
  <si>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</si>
  <si>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</si>
  <si>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</si>
  <si>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</si>
  <si>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</si>
  <si>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</si>
  <si>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</si>
  <si>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</si>
  <si>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</si>
  <si>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</si>
  <si>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</si>
  <si>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</si>
  <si>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</si>
  <si>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</si>
  <si>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</si>
  <si>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</si>
  <si>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</si>
  <si>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</si>
  <si>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</si>
  <si>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</si>
  <si>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</si>
  <si>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</si>
  <si>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</si>
  <si>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</si>
  <si>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</si>
  <si>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</si>
  <si>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</si>
  <si>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</si>
  <si>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</si>
  <si>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</si>
  <si>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</si>
  <si>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</si>
  <si>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</si>
  <si>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</si>
  <si>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</si>
  <si>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</si>
  <si>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</si>
  <si>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</si>
  <si>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</si>
  <si>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</si>
  <si>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</si>
  <si>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</si>
  <si>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</si>
  <si>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</si>
  <si>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</si>
  <si>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</si>
  <si>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</si>
  <si>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</si>
  <si>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</si>
  <si>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</si>
  <si>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COTE D`IVOIRE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</si>
  <si>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</si>
  <si>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</si>
  <si>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</si>
  <si>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</si>
  <si>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</si>
  <si>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</si>
  <si>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</si>
  <si>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</si>
  <si>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</si>
  <si>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</si>
  <si>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</si>
  <si>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</si>
  <si>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</si>
  <si>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</si>
  <si>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</si>
  <si>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</si>
  <si>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</si>
  <si>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</si>
  <si>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</si>
  <si>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</si>
  <si>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</si>
  <si>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</si>
  <si>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</si>
  <si>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</si>
  <si>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</si>
  <si>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</si>
  <si>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</si>
  <si>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</si>
  <si>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</si>
  <si>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</si>
  <si>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</si>
  <si>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</si>
  <si>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</si>
  <si>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</si>
  <si>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</si>
  <si>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</si>
  <si>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</si>
  <si>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</si>
  <si>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</si>
  <si>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</si>
  <si>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</si>
  <si>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</si>
  <si>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</si>
  <si>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</si>
  <si>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</si>
  <si>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</si>
  <si>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</si>
  <si>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</si>
  <si>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</si>
  <si>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</si>
  <si>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</si>
  <si>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</si>
  <si>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</si>
  <si>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</si>
  <si>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</si>
  <si>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</si>
  <si>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</si>
  <si>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</si>
  <si>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</si>
  <si>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</si>
  <si>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</si>
  <si>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</si>
  <si>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KOREA(DEMOCRATIC PEOPLE`S REPUBLIC OF)</t>
  </si>
  <si>
    <t>KOREA (REPUBLIC OF)</t>
  </si>
  <si>
    <t>KUWAIT</t>
  </si>
  <si>
    <t>KYRGYZSTAN</t>
  </si>
  <si>
    <t>LAO PEOPLE`S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</si>
  <si>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</si>
  <si>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</si>
  <si>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</si>
  <si>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</si>
  <si>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</si>
  <si>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</si>
  <si>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</si>
  <si>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</si>
  <si>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</si>
  <si>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</si>
  <si>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</si>
  <si>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</si>
  <si>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</si>
  <si>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</si>
  <si>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</si>
  <si>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</si>
  <si>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</si>
  <si>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</si>
  <si>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</si>
  <si>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</si>
  <si>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</si>
  <si>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</si>
  <si>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</si>
  <si>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</si>
  <si>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</si>
  <si>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</si>
  <si>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</si>
  <si>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</si>
  <si>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</si>
  <si>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</si>
  <si>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</si>
  <si>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</si>
  <si>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</si>
  <si>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</si>
  <si>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</si>
  <si>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</si>
  <si>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</si>
  <si>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</si>
  <si>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</si>
  <si>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</si>
  <si>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</si>
  <si>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</si>
  <si>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</si>
  <si>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</si>
  <si>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</si>
  <si>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</si>
  <si>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</si>
  <si>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</si>
  <si>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</si>
  <si>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</si>
  <si>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</si>
  <si>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</si>
  <si>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</si>
  <si>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</si>
  <si>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</si>
  <si>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</si>
  <si>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</si>
  <si>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</si>
  <si>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</si>
  <si>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</si>
  <si>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</si>
  <si>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</si>
  <si>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</si>
  <si>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</si>
  <si>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</si>
  <si>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</si>
  <si>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</si>
  <si>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</si>
  <si>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</si>
  <si>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</si>
  <si>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</si>
  <si>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</si>
  <si>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</si>
  <si>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</si>
  <si>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</si>
  <si>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</si>
  <si>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</si>
  <si>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</si>
  <si>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</si>
  <si>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</si>
  <si>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</si>
  <si>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</si>
  <si>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</si>
  <si>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</si>
  <si>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</si>
  <si>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</si>
  <si>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</si>
  <si>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</si>
  <si>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</si>
  <si>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</si>
  <si>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</si>
  <si>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</si>
  <si>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</si>
  <si>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</si>
  <si>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</si>
  <si>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CHINA[A]</t>
  </si>
  <si>
    <t>TAJIKISTAN</t>
  </si>
  <si>
    <t>TANZANIA, UNITED REPUBLIC OF</t>
  </si>
  <si>
    <t>THAILAND</t>
  </si>
  <si>
    <t>TIMOR-LESTE (EAST TIMOR)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</si>
  <si>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</si>
  <si>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</si>
  <si>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</si>
  <si>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</si>
  <si>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</si>
  <si>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</si>
  <si>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</si>
  <si>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</si>
  <si>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</si>
  <si>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</si>
  <si>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</si>
  <si>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</si>
  <si>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</si>
  <si>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</si>
  <si>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UNITED STATES MINOR OUTLYING ISLANDS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</si>
  <si>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</si>
  <si>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</si>
  <si>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</si>
  <si>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</si>
  <si>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</si>
  <si>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</si>
  <si>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</si>
  <si>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</si>
  <si>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</si>
  <si>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</si>
  <si>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</si>
  <si>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</si>
  <si>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OTHERS</t>
  </si>
  <si>
    <t>12c</t>
  </si>
  <si>
    <t>12d</t>
  </si>
  <si>
    <t>Turnover from Futures &amp; Options Trading</t>
  </si>
  <si>
    <t>Income from Futures &amp; Options Trading - transferred to Profit and 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</si>
</sst>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2" fontId="0" fillId="2" borderId="1" xfId="0" applyNumberFormat="1" applyFill="1" applyBorder="1" applyProtection="1">
      <protection locked="0"/>
    </xf>
    <xf numFmtId="2" fontId="0" fillId="0" borderId="1" xfId="0" applyNumberFormat="1" applyBorder="1"/>
    <xf numFmtId="0" fontId="0" fillId="2" borderId="1" xfId="0" applyFill="1" applyBorder="1" applyAlignment="1">
      <alignment horizontal="center"/>
    </xf>
    <xf numFmtId="2" fontId="5" fillId="4" borderId="1" xfId="1" applyNumberFormat="1" applyFill="1" applyBorder="1" applyProtection="1"/>
    <xf numFmtId="0" fontId="5" fillId="0" borderId="0" xfId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5" fillId="2" borderId="1" xfId="1" applyNumberFormat="1" applyFill="1" applyBorder="1" applyProtection="1"/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0" fontId="7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5" xfId="0" applyFont="1" applyBorder="1"/>
    <xf numFmtId="0" fontId="0" fillId="0" borderId="2" xfId="0" applyBorder="1" applyAlignment="1">
      <alignment wrapText="1"/>
    </xf>
    <xf numFmtId="0" fontId="0" fillId="0" borderId="5" xfId="0" applyBorder="1"/>
    <xf numFmtId="0" fontId="6" fillId="0" borderId="5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abSelected="1" workbookViewId="0">
      <selection activeCell="E11" sqref="E11:G11"/>
    </sheetView>
  </sheetViews>
  <sheetFormatPr defaultRowHeight="15" x14ac:dyDescent="0.25"/>
  <cols>
    <col min="1" max="1" width="5.42578125" customWidth="1"/>
    <col min="2" max="2" width="6.140625" customWidth="1"/>
    <col min="3" max="3" width="4.42578125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customWidth="1"/>
    <col min="9" max="9" width="21.42578125" customWidth="1"/>
    <col min="10" max="10" width="6.28515625" customWidth="1"/>
    <col min="11" max="11" width="20.140625" customWidth="1"/>
  </cols>
  <sheetData>
    <row r="1" spans="1:11" x14ac:dyDescent="0.25">
      <c r="A1" s="1" t="s">
        <v>0</v>
      </c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"/>
      <c r="B2" s="3">
        <v>1</v>
      </c>
      <c r="C2" s="25" t="s">
        <v>2</v>
      </c>
      <c r="D2" s="25"/>
      <c r="E2" s="25"/>
      <c r="F2" s="25"/>
      <c r="G2" s="25"/>
      <c r="H2" s="25"/>
      <c r="I2" s="25"/>
      <c r="J2" s="27"/>
      <c r="K2" s="27"/>
    </row>
    <row r="3" spans="1:11" x14ac:dyDescent="0.25">
      <c r="A3" s="2"/>
      <c r="B3" s="2"/>
      <c r="C3" s="3" t="s">
        <v>3</v>
      </c>
      <c r="D3" s="25" t="s">
        <v>4</v>
      </c>
      <c r="E3" s="25"/>
      <c r="F3" s="25"/>
      <c r="G3" s="25"/>
      <c r="H3" s="25"/>
      <c r="I3" s="25"/>
      <c r="J3" s="27"/>
      <c r="K3" s="27"/>
    </row>
    <row r="4" spans="1:11" x14ac:dyDescent="0.25">
      <c r="A4" s="2"/>
      <c r="B4" s="2"/>
      <c r="C4" s="2"/>
      <c r="D4" s="3" t="s">
        <v>5</v>
      </c>
      <c r="E4" s="25" t="s">
        <v>6</v>
      </c>
      <c r="F4" s="25"/>
      <c r="G4" s="25"/>
      <c r="H4" s="2" t="s">
        <v>184</v>
      </c>
      <c r="I4" s="4"/>
      <c r="J4" s="27"/>
      <c r="K4" s="27"/>
    </row>
    <row r="5" spans="1:11" x14ac:dyDescent="0.25">
      <c r="A5" s="2"/>
      <c r="B5" s="2"/>
      <c r="C5" s="2"/>
      <c r="D5" s="3" t="s">
        <v>7</v>
      </c>
      <c r="E5" s="25" t="s">
        <v>10</v>
      </c>
      <c r="F5" s="25"/>
      <c r="G5" s="25"/>
      <c r="H5" s="2" t="s">
        <v>185</v>
      </c>
      <c r="I5" s="4"/>
      <c r="J5" s="27"/>
      <c r="K5" s="27"/>
    </row>
    <row r="6" spans="1:11" x14ac:dyDescent="0.25">
      <c r="A6" s="2"/>
      <c r="B6" s="2"/>
      <c r="C6" s="2"/>
      <c r="D6" s="3" t="s">
        <v>8</v>
      </c>
      <c r="E6" s="25" t="s">
        <v>11</v>
      </c>
      <c r="F6" s="25"/>
      <c r="G6" s="25"/>
      <c r="H6" s="2" t="s">
        <v>186</v>
      </c>
      <c r="I6" s="4"/>
      <c r="J6" s="27"/>
      <c r="K6" s="27"/>
    </row>
    <row r="7" spans="1:11" x14ac:dyDescent="0.25">
      <c r="A7" s="2"/>
      <c r="B7" s="2"/>
      <c r="C7" s="2"/>
      <c r="D7" s="3" t="s">
        <v>9</v>
      </c>
      <c r="E7" s="25" t="s">
        <v>12</v>
      </c>
      <c r="F7" s="25"/>
      <c r="G7" s="25"/>
      <c r="H7" s="25"/>
      <c r="I7" s="25"/>
      <c r="J7" s="2" t="s">
        <v>187</v>
      </c>
      <c r="K7" s="5">
        <f>SUM(I5:I6)</f>
        <v>0</v>
      </c>
    </row>
    <row r="8" spans="1:11" x14ac:dyDescent="0.25">
      <c r="A8" s="2"/>
      <c r="B8" s="2"/>
      <c r="C8" s="2" t="s">
        <v>13</v>
      </c>
      <c r="D8" s="25" t="s">
        <v>14</v>
      </c>
      <c r="E8" s="25"/>
      <c r="F8" s="25"/>
      <c r="G8" s="25"/>
      <c r="H8" s="25"/>
      <c r="I8" s="25"/>
      <c r="J8" s="27"/>
      <c r="K8" s="27"/>
    </row>
    <row r="9" spans="1:11" x14ac:dyDescent="0.25">
      <c r="A9" s="2"/>
      <c r="B9" s="2"/>
      <c r="C9" s="2"/>
      <c r="D9" s="3" t="s">
        <v>5</v>
      </c>
      <c r="E9" s="25" t="s">
        <v>23</v>
      </c>
      <c r="F9" s="25"/>
      <c r="G9" s="25"/>
      <c r="H9" s="2" t="s">
        <v>188</v>
      </c>
      <c r="I9" s="4"/>
      <c r="J9" s="27"/>
      <c r="K9" s="27"/>
    </row>
    <row r="10" spans="1:11" x14ac:dyDescent="0.25">
      <c r="A10" s="2"/>
      <c r="B10" s="2"/>
      <c r="C10" s="2"/>
      <c r="D10" s="3" t="s">
        <v>7</v>
      </c>
      <c r="E10" s="25" t="s">
        <v>24</v>
      </c>
      <c r="F10" s="25"/>
      <c r="G10" s="25"/>
      <c r="H10" s="2" t="s">
        <v>189</v>
      </c>
      <c r="I10" s="4"/>
      <c r="J10" s="27"/>
      <c r="K10" s="27"/>
    </row>
    <row r="11" spans="1:11" x14ac:dyDescent="0.25">
      <c r="A11" s="2"/>
      <c r="B11" s="2"/>
      <c r="C11" s="2"/>
      <c r="D11" s="3" t="s">
        <v>8</v>
      </c>
      <c r="E11" s="25" t="s">
        <v>25</v>
      </c>
      <c r="F11" s="25"/>
      <c r="G11" s="25"/>
      <c r="H11" s="2" t="s">
        <v>190</v>
      </c>
      <c r="I11" s="4"/>
      <c r="J11" s="27"/>
      <c r="K11" s="27"/>
    </row>
    <row r="12" spans="1:11" x14ac:dyDescent="0.25">
      <c r="A12" s="2"/>
      <c r="B12" s="2"/>
      <c r="C12" s="2"/>
      <c r="D12" s="3" t="s">
        <v>9</v>
      </c>
      <c r="E12" s="28" t="s">
        <v>26</v>
      </c>
      <c r="F12" s="28"/>
      <c r="G12" s="28"/>
      <c r="H12" s="2" t="s">
        <v>191</v>
      </c>
      <c r="I12" s="4"/>
      <c r="J12" s="27"/>
      <c r="K12" s="27"/>
    </row>
    <row r="13" spans="1:11" x14ac:dyDescent="0.25">
      <c r="A13" s="2"/>
      <c r="B13" s="2"/>
      <c r="C13" s="2"/>
      <c r="D13" s="3" t="s">
        <v>15</v>
      </c>
      <c r="E13" s="28" t="s">
        <v>27</v>
      </c>
      <c r="F13" s="28"/>
      <c r="G13" s="28"/>
      <c r="H13" s="2" t="s">
        <v>192</v>
      </c>
      <c r="I13" s="4"/>
      <c r="J13" s="27"/>
      <c r="K13" s="27"/>
    </row>
    <row r="14" spans="1:11" x14ac:dyDescent="0.25">
      <c r="A14" s="2"/>
      <c r="B14" s="2"/>
      <c r="C14" s="2"/>
      <c r="D14" s="3" t="s">
        <v>16</v>
      </c>
      <c r="E14" s="28" t="s">
        <v>28</v>
      </c>
      <c r="F14" s="28"/>
      <c r="G14" s="28"/>
      <c r="H14" s="2" t="s">
        <v>193</v>
      </c>
      <c r="I14" s="4"/>
      <c r="J14" s="27"/>
      <c r="K14" s="27"/>
    </row>
    <row r="15" spans="1:11" x14ac:dyDescent="0.25">
      <c r="A15" s="2"/>
      <c r="B15" s="2"/>
      <c r="C15" s="2"/>
      <c r="D15" s="3" t="s">
        <v>17</v>
      </c>
      <c r="E15" s="28" t="s">
        <v>29</v>
      </c>
      <c r="F15" s="28"/>
      <c r="G15" s="28"/>
      <c r="H15" s="2" t="s">
        <v>194</v>
      </c>
      <c r="I15" s="7">
        <f>SUM('Other reserve'!B2:B50)</f>
        <v>0</v>
      </c>
      <c r="J15" s="27"/>
      <c r="K15" s="27"/>
    </row>
    <row r="16" spans="1:11" x14ac:dyDescent="0.25">
      <c r="A16" s="2"/>
      <c r="B16" s="2"/>
      <c r="C16" s="2"/>
      <c r="D16" s="2" t="s">
        <v>21</v>
      </c>
      <c r="E16" s="28" t="s">
        <v>30</v>
      </c>
      <c r="F16" s="28"/>
      <c r="G16" s="28"/>
      <c r="H16" s="2" t="s">
        <v>195</v>
      </c>
      <c r="I16" s="4"/>
      <c r="J16" s="27"/>
      <c r="K16" s="27"/>
    </row>
    <row r="17" spans="1:12" x14ac:dyDescent="0.25">
      <c r="A17" s="2"/>
      <c r="B17" s="2"/>
      <c r="C17" s="2"/>
      <c r="D17" s="2" t="s">
        <v>22</v>
      </c>
      <c r="E17" s="29" t="s">
        <v>31</v>
      </c>
      <c r="F17" s="29"/>
      <c r="G17" s="29"/>
      <c r="H17" s="29"/>
      <c r="I17" s="29"/>
      <c r="J17" s="2" t="s">
        <v>196</v>
      </c>
      <c r="K17" s="5">
        <f>SUM(I9:I16)</f>
        <v>0</v>
      </c>
    </row>
    <row r="18" spans="1:12" x14ac:dyDescent="0.25">
      <c r="A18" s="2"/>
      <c r="B18" s="2"/>
      <c r="C18" s="2" t="s">
        <v>32</v>
      </c>
      <c r="D18" s="28" t="s">
        <v>33</v>
      </c>
      <c r="E18" s="28"/>
      <c r="F18" s="28"/>
      <c r="G18" s="28"/>
      <c r="H18" s="28"/>
      <c r="I18" s="28"/>
      <c r="J18" s="2" t="s">
        <v>197</v>
      </c>
      <c r="K18" s="4"/>
    </row>
    <row r="19" spans="1:12" x14ac:dyDescent="0.25">
      <c r="A19" s="2"/>
      <c r="B19" s="2"/>
      <c r="C19" s="2" t="s">
        <v>34</v>
      </c>
      <c r="D19" s="28" t="s">
        <v>35</v>
      </c>
      <c r="E19" s="28"/>
      <c r="F19" s="28"/>
      <c r="G19" s="28"/>
      <c r="H19" s="28"/>
      <c r="I19" s="28"/>
      <c r="J19" s="2" t="s">
        <v>198</v>
      </c>
      <c r="K19" s="5">
        <f>SUM(K7,K17,K18)</f>
        <v>0</v>
      </c>
      <c r="L19" s="8"/>
    </row>
    <row r="20" spans="1:12" x14ac:dyDescent="0.25">
      <c r="A20" s="2"/>
      <c r="B20" s="2">
        <v>2</v>
      </c>
      <c r="C20" s="28" t="s">
        <v>36</v>
      </c>
      <c r="D20" s="28"/>
      <c r="E20" s="28"/>
      <c r="F20" s="28"/>
      <c r="G20" s="28"/>
      <c r="H20" s="28"/>
      <c r="I20" s="28"/>
      <c r="J20" s="27"/>
      <c r="K20" s="27"/>
    </row>
    <row r="21" spans="1:12" x14ac:dyDescent="0.25">
      <c r="A21" s="2"/>
      <c r="B21" s="2"/>
      <c r="C21" s="2" t="s">
        <v>5</v>
      </c>
      <c r="D21" s="28" t="s">
        <v>37</v>
      </c>
      <c r="E21" s="28"/>
      <c r="F21" s="28"/>
      <c r="G21" s="28"/>
      <c r="H21" s="2" t="s">
        <v>5</v>
      </c>
      <c r="I21" s="4"/>
      <c r="J21" s="27"/>
      <c r="K21" s="27"/>
    </row>
    <row r="22" spans="1:12" x14ac:dyDescent="0.25">
      <c r="A22" s="2"/>
      <c r="B22" s="2"/>
      <c r="C22" s="2" t="s">
        <v>7</v>
      </c>
      <c r="D22" s="28" t="s">
        <v>38</v>
      </c>
      <c r="E22" s="28"/>
      <c r="F22" s="28"/>
      <c r="G22" s="28"/>
      <c r="H22" s="2" t="s">
        <v>7</v>
      </c>
      <c r="I22" s="4"/>
      <c r="J22" s="27"/>
      <c r="K22" s="27"/>
    </row>
    <row r="23" spans="1:12" x14ac:dyDescent="0.25">
      <c r="A23" s="2"/>
      <c r="B23" s="2"/>
      <c r="C23" s="2" t="s">
        <v>8</v>
      </c>
      <c r="D23" s="28" t="s">
        <v>39</v>
      </c>
      <c r="E23" s="28"/>
      <c r="F23" s="28"/>
      <c r="G23" s="28"/>
      <c r="H23" s="28"/>
      <c r="I23" s="28"/>
      <c r="J23" s="2">
        <v>2</v>
      </c>
      <c r="K23" s="5">
        <f>SUM(I21:I22)</f>
        <v>0</v>
      </c>
    </row>
    <row r="24" spans="1:12" x14ac:dyDescent="0.25">
      <c r="A24" s="2"/>
      <c r="B24" s="2">
        <v>3</v>
      </c>
      <c r="C24" s="28" t="s">
        <v>40</v>
      </c>
      <c r="D24" s="28"/>
      <c r="E24" s="28"/>
      <c r="F24" s="28"/>
      <c r="G24" s="28"/>
      <c r="H24" s="28"/>
      <c r="I24" s="28"/>
      <c r="J24" s="27"/>
      <c r="K24" s="27"/>
    </row>
    <row r="25" spans="1:12" x14ac:dyDescent="0.25">
      <c r="A25" s="2"/>
      <c r="B25" s="2"/>
      <c r="C25" s="2" t="s">
        <v>3</v>
      </c>
      <c r="D25" s="28" t="s">
        <v>41</v>
      </c>
      <c r="E25" s="28"/>
      <c r="F25" s="28"/>
      <c r="G25" s="28"/>
      <c r="H25" s="28"/>
      <c r="I25" s="28"/>
      <c r="J25" s="27"/>
      <c r="K25" s="27"/>
    </row>
    <row r="26" spans="1:12" x14ac:dyDescent="0.25">
      <c r="A26" s="2"/>
      <c r="B26" s="2"/>
      <c r="C26" s="2"/>
      <c r="D26" s="2" t="s">
        <v>5</v>
      </c>
      <c r="E26" s="28" t="s">
        <v>42</v>
      </c>
      <c r="F26" s="28"/>
      <c r="G26" s="28"/>
      <c r="H26" s="28"/>
      <c r="I26" s="28"/>
      <c r="J26" s="27"/>
      <c r="K26" s="27"/>
    </row>
    <row r="27" spans="1:12" x14ac:dyDescent="0.25">
      <c r="A27" s="2"/>
      <c r="B27" s="2"/>
      <c r="C27" s="2"/>
      <c r="D27" s="2"/>
      <c r="E27" s="2" t="s">
        <v>18</v>
      </c>
      <c r="F27" s="28" t="s">
        <v>43</v>
      </c>
      <c r="G27" s="28"/>
      <c r="H27" s="2" t="s">
        <v>199</v>
      </c>
      <c r="I27" s="4"/>
      <c r="J27" s="27"/>
      <c r="K27" s="27"/>
    </row>
    <row r="28" spans="1:12" x14ac:dyDescent="0.25">
      <c r="A28" s="2"/>
      <c r="B28" s="2"/>
      <c r="C28" s="2"/>
      <c r="D28" s="2"/>
      <c r="E28" s="2" t="s">
        <v>19</v>
      </c>
      <c r="F28" s="28" t="s">
        <v>44</v>
      </c>
      <c r="G28" s="28"/>
      <c r="H28" s="2" t="s">
        <v>200</v>
      </c>
      <c r="I28" s="4"/>
      <c r="J28" s="27"/>
      <c r="K28" s="27"/>
    </row>
    <row r="29" spans="1:12" x14ac:dyDescent="0.25">
      <c r="A29" s="2"/>
      <c r="B29" s="2"/>
      <c r="C29" s="2"/>
      <c r="D29" s="2"/>
      <c r="E29" s="2" t="s">
        <v>20</v>
      </c>
      <c r="F29" s="28" t="s">
        <v>45</v>
      </c>
      <c r="G29" s="28"/>
      <c r="H29" s="28"/>
      <c r="I29" s="28"/>
      <c r="J29" s="2" t="s">
        <v>201</v>
      </c>
      <c r="K29" s="5">
        <f>SUM(I27:I28)</f>
        <v>0</v>
      </c>
    </row>
    <row r="30" spans="1:12" x14ac:dyDescent="0.25">
      <c r="A30" s="2"/>
      <c r="B30" s="2"/>
      <c r="C30" s="2"/>
      <c r="D30" s="2" t="s">
        <v>7</v>
      </c>
      <c r="E30" s="28" t="s">
        <v>46</v>
      </c>
      <c r="F30" s="28"/>
      <c r="G30" s="28"/>
      <c r="H30" s="28"/>
      <c r="I30" s="28"/>
      <c r="J30" s="27"/>
      <c r="K30" s="27"/>
    </row>
    <row r="31" spans="1:12" x14ac:dyDescent="0.25">
      <c r="A31" s="2"/>
      <c r="B31" s="2"/>
      <c r="C31" s="2"/>
      <c r="D31" s="2"/>
      <c r="E31" s="2" t="s">
        <v>18</v>
      </c>
      <c r="F31" s="28" t="s">
        <v>43</v>
      </c>
      <c r="G31" s="28"/>
      <c r="H31" s="2" t="s">
        <v>202</v>
      </c>
      <c r="I31" s="4"/>
      <c r="J31" s="27"/>
      <c r="K31" s="27"/>
    </row>
    <row r="32" spans="1:12" x14ac:dyDescent="0.25">
      <c r="A32" s="2"/>
      <c r="B32" s="2"/>
      <c r="C32" s="2"/>
      <c r="D32" s="2"/>
      <c r="E32" s="2" t="s">
        <v>19</v>
      </c>
      <c r="F32" s="28" t="s">
        <v>47</v>
      </c>
      <c r="G32" s="28"/>
      <c r="H32" s="2"/>
      <c r="I32" s="2"/>
      <c r="J32" s="27"/>
      <c r="K32" s="27"/>
    </row>
    <row r="33" spans="1:11" x14ac:dyDescent="0.25">
      <c r="A33" s="2"/>
      <c r="B33" s="2"/>
      <c r="C33" s="2"/>
      <c r="D33" s="2"/>
      <c r="E33" s="2"/>
      <c r="F33" s="2">
        <v>1</v>
      </c>
      <c r="G33" s="3" t="s">
        <v>48</v>
      </c>
      <c r="H33" s="2" t="s">
        <v>203</v>
      </c>
      <c r="I33" s="4"/>
      <c r="J33" s="27"/>
      <c r="K33" s="27"/>
    </row>
    <row r="34" spans="1:11" x14ac:dyDescent="0.25">
      <c r="A34" s="2"/>
      <c r="B34" s="2"/>
      <c r="C34" s="2"/>
      <c r="D34" s="2"/>
      <c r="E34" s="2"/>
      <c r="F34" s="2">
        <v>2</v>
      </c>
      <c r="G34" s="3" t="s">
        <v>49</v>
      </c>
      <c r="H34" s="2" t="s">
        <v>204</v>
      </c>
      <c r="I34" s="4"/>
      <c r="J34" s="27"/>
      <c r="K34" s="27"/>
    </row>
    <row r="35" spans="1:11" x14ac:dyDescent="0.25">
      <c r="A35" s="2"/>
      <c r="B35" s="2"/>
      <c r="C35" s="2"/>
      <c r="D35" s="2"/>
      <c r="E35" s="2"/>
      <c r="F35" s="2">
        <v>3</v>
      </c>
      <c r="G35" s="3" t="s">
        <v>50</v>
      </c>
      <c r="H35" s="2" t="s">
        <v>205</v>
      </c>
      <c r="I35" s="5">
        <f>SUM(I33:I34)</f>
        <v>0</v>
      </c>
      <c r="J35" s="27"/>
      <c r="K35" s="27"/>
    </row>
    <row r="36" spans="1:11" x14ac:dyDescent="0.25">
      <c r="A36" s="2"/>
      <c r="B36" s="2"/>
      <c r="C36" s="2"/>
      <c r="D36" s="2"/>
      <c r="E36" s="2" t="s">
        <v>32</v>
      </c>
      <c r="F36" s="28" t="s">
        <v>51</v>
      </c>
      <c r="G36" s="28"/>
      <c r="H36" s="28"/>
      <c r="I36" s="28"/>
      <c r="J36" s="2" t="s">
        <v>206</v>
      </c>
      <c r="K36" s="5">
        <f>SUM(I31,I35)</f>
        <v>0</v>
      </c>
    </row>
    <row r="37" spans="1:11" x14ac:dyDescent="0.25">
      <c r="A37" s="2"/>
      <c r="B37" s="2"/>
      <c r="C37" s="2"/>
      <c r="D37" s="2" t="s">
        <v>8</v>
      </c>
      <c r="E37" s="28" t="s">
        <v>52</v>
      </c>
      <c r="F37" s="28"/>
      <c r="G37" s="28"/>
      <c r="H37" s="28"/>
      <c r="I37" s="28"/>
      <c r="J37" s="2" t="s">
        <v>8</v>
      </c>
      <c r="K37" s="4"/>
    </row>
    <row r="38" spans="1:11" x14ac:dyDescent="0.25">
      <c r="A38" s="2"/>
      <c r="B38" s="2"/>
      <c r="C38" s="2"/>
      <c r="D38" s="2" t="s">
        <v>9</v>
      </c>
      <c r="E38" s="28" t="s">
        <v>53</v>
      </c>
      <c r="F38" s="28"/>
      <c r="G38" s="28"/>
      <c r="H38" s="28"/>
      <c r="I38" s="28"/>
      <c r="J38" s="2" t="s">
        <v>9</v>
      </c>
      <c r="K38" s="4"/>
    </row>
    <row r="39" spans="1:11" x14ac:dyDescent="0.25">
      <c r="A39" s="2"/>
      <c r="B39" s="2"/>
      <c r="C39" s="2"/>
      <c r="D39" s="2" t="s">
        <v>15</v>
      </c>
      <c r="E39" s="28" t="s">
        <v>54</v>
      </c>
      <c r="F39" s="28"/>
      <c r="G39" s="28"/>
      <c r="H39" s="28"/>
      <c r="I39" s="28"/>
      <c r="J39" s="2" t="s">
        <v>15</v>
      </c>
      <c r="K39" s="4"/>
    </row>
    <row r="40" spans="1:11" x14ac:dyDescent="0.25">
      <c r="A40" s="2"/>
      <c r="B40" s="2"/>
      <c r="C40" s="2"/>
      <c r="D40" s="2" t="s">
        <v>16</v>
      </c>
      <c r="E40" s="28" t="s">
        <v>55</v>
      </c>
      <c r="F40" s="28"/>
      <c r="G40" s="28"/>
      <c r="H40" s="28"/>
      <c r="I40" s="28"/>
      <c r="J40" s="2" t="s">
        <v>16</v>
      </c>
      <c r="K40" s="4"/>
    </row>
    <row r="41" spans="1:11" x14ac:dyDescent="0.25">
      <c r="A41" s="2"/>
      <c r="B41" s="2"/>
      <c r="C41" s="2"/>
      <c r="D41" s="2" t="s">
        <v>17</v>
      </c>
      <c r="E41" s="28" t="s">
        <v>56</v>
      </c>
      <c r="F41" s="28"/>
      <c r="G41" s="28"/>
      <c r="H41" s="28"/>
      <c r="I41" s="28"/>
      <c r="J41" s="2" t="s">
        <v>17</v>
      </c>
      <c r="K41" s="4"/>
    </row>
    <row r="42" spans="1:11" x14ac:dyDescent="0.25">
      <c r="A42" s="2"/>
      <c r="B42" s="2"/>
      <c r="C42" s="2"/>
      <c r="D42" s="2" t="s">
        <v>21</v>
      </c>
      <c r="E42" s="28" t="s">
        <v>57</v>
      </c>
      <c r="F42" s="28"/>
      <c r="G42" s="28"/>
      <c r="H42" s="28"/>
      <c r="I42" s="28"/>
      <c r="J42" s="2" t="s">
        <v>21</v>
      </c>
      <c r="K42" s="4"/>
    </row>
    <row r="43" spans="1:11" x14ac:dyDescent="0.25">
      <c r="A43" s="2"/>
      <c r="B43" s="2"/>
      <c r="C43" s="2"/>
      <c r="D43" s="2" t="s">
        <v>22</v>
      </c>
      <c r="E43" s="28" t="s">
        <v>58</v>
      </c>
      <c r="F43" s="28"/>
      <c r="G43" s="28"/>
      <c r="H43" s="28"/>
      <c r="I43" s="28"/>
      <c r="J43" s="2" t="s">
        <v>207</v>
      </c>
      <c r="K43" s="5">
        <f>SUM(K29,K36:K42)</f>
        <v>0</v>
      </c>
    </row>
    <row r="44" spans="1:11" x14ac:dyDescent="0.25">
      <c r="A44" s="2"/>
      <c r="B44" s="2"/>
      <c r="C44" s="2" t="s">
        <v>13</v>
      </c>
      <c r="D44" s="28" t="s">
        <v>59</v>
      </c>
      <c r="E44" s="28"/>
      <c r="F44" s="28"/>
      <c r="G44" s="28"/>
      <c r="H44" s="28"/>
      <c r="I44" s="28"/>
      <c r="J44" s="2" t="s">
        <v>208</v>
      </c>
      <c r="K44" s="4"/>
    </row>
    <row r="45" spans="1:11" x14ac:dyDescent="0.25">
      <c r="A45" s="2"/>
      <c r="B45" s="2"/>
      <c r="C45" s="2" t="s">
        <v>32</v>
      </c>
      <c r="D45" s="28" t="s">
        <v>60</v>
      </c>
      <c r="E45" s="28"/>
      <c r="F45" s="28"/>
      <c r="G45" s="28"/>
      <c r="H45" s="28"/>
      <c r="I45" s="28"/>
      <c r="J45" s="27"/>
      <c r="K45" s="27"/>
    </row>
    <row r="46" spans="1:11" x14ac:dyDescent="0.25">
      <c r="A46" s="2"/>
      <c r="B46" s="2"/>
      <c r="C46" s="2"/>
      <c r="D46" s="2" t="s">
        <v>5</v>
      </c>
      <c r="E46" s="28" t="s">
        <v>61</v>
      </c>
      <c r="F46" s="28"/>
      <c r="G46" s="28"/>
      <c r="H46" s="2" t="s">
        <v>5</v>
      </c>
      <c r="I46" s="4"/>
      <c r="J46" s="27"/>
      <c r="K46" s="27"/>
    </row>
    <row r="47" spans="1:11" x14ac:dyDescent="0.25">
      <c r="A47" s="2"/>
      <c r="B47" s="2"/>
      <c r="C47" s="2"/>
      <c r="D47" s="2" t="s">
        <v>7</v>
      </c>
      <c r="E47" s="28" t="s">
        <v>62</v>
      </c>
      <c r="F47" s="28"/>
      <c r="G47" s="28"/>
      <c r="H47" s="2" t="s">
        <v>7</v>
      </c>
      <c r="I47" s="4"/>
      <c r="J47" s="27"/>
      <c r="K47" s="27"/>
    </row>
    <row r="48" spans="1:11" x14ac:dyDescent="0.25">
      <c r="A48" s="2"/>
      <c r="B48" s="2"/>
      <c r="C48" s="2"/>
      <c r="D48" s="2" t="s">
        <v>8</v>
      </c>
      <c r="E48" s="28" t="s">
        <v>63</v>
      </c>
      <c r="F48" s="28"/>
      <c r="G48" s="28"/>
      <c r="H48" s="28"/>
      <c r="I48" s="28"/>
      <c r="J48" s="2" t="s">
        <v>209</v>
      </c>
      <c r="K48" s="5">
        <f>SUM(I46:I47)</f>
        <v>0</v>
      </c>
    </row>
    <row r="49" spans="1:11" x14ac:dyDescent="0.25">
      <c r="A49" s="2"/>
      <c r="B49" s="2"/>
      <c r="C49" s="2" t="s">
        <v>34</v>
      </c>
      <c r="D49" s="28" t="s">
        <v>64</v>
      </c>
      <c r="E49" s="28"/>
      <c r="F49" s="28"/>
      <c r="G49" s="28"/>
      <c r="H49" s="28"/>
      <c r="I49" s="28"/>
      <c r="J49" s="27"/>
      <c r="K49" s="27"/>
    </row>
    <row r="50" spans="1:11" x14ac:dyDescent="0.25">
      <c r="A50" s="2"/>
      <c r="B50" s="2"/>
      <c r="C50" s="2"/>
      <c r="D50" s="2" t="s">
        <v>5</v>
      </c>
      <c r="E50" s="28" t="s">
        <v>65</v>
      </c>
      <c r="F50" s="28"/>
      <c r="G50" s="28"/>
      <c r="H50" s="2" t="s">
        <v>5</v>
      </c>
      <c r="I50" s="4"/>
      <c r="J50" s="27"/>
      <c r="K50" s="27"/>
    </row>
    <row r="51" spans="1:11" x14ac:dyDescent="0.25">
      <c r="A51" s="2"/>
      <c r="B51" s="2"/>
      <c r="C51" s="2"/>
      <c r="D51" s="2" t="s">
        <v>7</v>
      </c>
      <c r="E51" s="28" t="s">
        <v>62</v>
      </c>
      <c r="F51" s="28"/>
      <c r="G51" s="28"/>
      <c r="H51" s="2" t="s">
        <v>7</v>
      </c>
      <c r="I51" s="4"/>
      <c r="J51" s="27"/>
      <c r="K51" s="27"/>
    </row>
    <row r="52" spans="1:11" x14ac:dyDescent="0.25">
      <c r="A52" s="2"/>
      <c r="B52" s="2"/>
      <c r="C52" s="2"/>
      <c r="D52" s="2" t="s">
        <v>8</v>
      </c>
      <c r="E52" s="28" t="s">
        <v>39</v>
      </c>
      <c r="F52" s="28"/>
      <c r="G52" s="28"/>
      <c r="H52" s="28"/>
      <c r="I52" s="28"/>
      <c r="J52" s="2" t="s">
        <v>210</v>
      </c>
      <c r="K52" s="5">
        <f>SUM(I50:I51)</f>
        <v>0</v>
      </c>
    </row>
    <row r="53" spans="1:11" x14ac:dyDescent="0.25">
      <c r="A53" s="2"/>
      <c r="B53" s="2"/>
      <c r="C53" s="2" t="s">
        <v>66</v>
      </c>
      <c r="D53" s="28" t="s">
        <v>67</v>
      </c>
      <c r="E53" s="28"/>
      <c r="F53" s="28"/>
      <c r="G53" s="28"/>
      <c r="H53" s="28"/>
      <c r="I53" s="28"/>
      <c r="J53" s="2" t="s">
        <v>211</v>
      </c>
      <c r="K53" s="5">
        <f>SUM(K43:K44,K48,K52)</f>
        <v>0</v>
      </c>
    </row>
    <row r="54" spans="1:11" x14ac:dyDescent="0.25">
      <c r="A54" s="2"/>
      <c r="B54" s="2">
        <v>4</v>
      </c>
      <c r="C54" s="28" t="s">
        <v>68</v>
      </c>
      <c r="D54" s="28"/>
      <c r="E54" s="28"/>
      <c r="F54" s="28"/>
      <c r="G54" s="28"/>
      <c r="H54" s="28"/>
      <c r="I54" s="28"/>
      <c r="J54" s="27"/>
      <c r="K54" s="27"/>
    </row>
    <row r="55" spans="1:11" x14ac:dyDescent="0.25">
      <c r="A55" s="2"/>
      <c r="B55" s="2"/>
      <c r="C55" s="2" t="s">
        <v>3</v>
      </c>
      <c r="D55" s="28" t="s">
        <v>69</v>
      </c>
      <c r="E55" s="28"/>
      <c r="F55" s="28"/>
      <c r="G55" s="28"/>
      <c r="H55" s="28"/>
      <c r="I55" s="28"/>
      <c r="J55" s="27"/>
      <c r="K55" s="27"/>
    </row>
    <row r="56" spans="1:11" x14ac:dyDescent="0.25">
      <c r="A56" s="2"/>
      <c r="B56" s="2"/>
      <c r="C56" s="2"/>
      <c r="D56" s="2" t="s">
        <v>5</v>
      </c>
      <c r="E56" s="28" t="s">
        <v>70</v>
      </c>
      <c r="F56" s="28"/>
      <c r="G56" s="28"/>
      <c r="H56" s="28"/>
      <c r="I56" s="28"/>
      <c r="J56" s="27"/>
      <c r="K56" s="27"/>
    </row>
    <row r="57" spans="1:11" x14ac:dyDescent="0.25">
      <c r="A57" s="2"/>
      <c r="B57" s="2"/>
      <c r="C57" s="2"/>
      <c r="D57" s="2"/>
      <c r="E57" s="2" t="s">
        <v>18</v>
      </c>
      <c r="F57" s="30" t="s">
        <v>48</v>
      </c>
      <c r="G57" s="30"/>
      <c r="H57" s="2" t="s">
        <v>199</v>
      </c>
      <c r="I57" s="4"/>
      <c r="J57" s="27"/>
      <c r="K57" s="27"/>
    </row>
    <row r="58" spans="1:11" x14ac:dyDescent="0.25">
      <c r="A58" s="2"/>
      <c r="B58" s="2"/>
      <c r="C58" s="2"/>
      <c r="D58" s="2"/>
      <c r="E58" s="2" t="s">
        <v>19</v>
      </c>
      <c r="F58" s="30" t="s">
        <v>73</v>
      </c>
      <c r="G58" s="30"/>
      <c r="H58" s="2" t="s">
        <v>200</v>
      </c>
      <c r="I58" s="4"/>
      <c r="J58" s="27"/>
      <c r="K58" s="27"/>
    </row>
    <row r="59" spans="1:11" x14ac:dyDescent="0.25">
      <c r="A59" s="2"/>
      <c r="B59" s="2"/>
      <c r="C59" s="2"/>
      <c r="D59" s="2"/>
      <c r="E59" s="2" t="s">
        <v>20</v>
      </c>
      <c r="F59" s="30" t="s">
        <v>74</v>
      </c>
      <c r="G59" s="30"/>
      <c r="H59" s="2" t="s">
        <v>201</v>
      </c>
      <c r="I59" s="4"/>
      <c r="J59" s="27"/>
      <c r="K59" s="27"/>
    </row>
    <row r="60" spans="1:11" x14ac:dyDescent="0.25">
      <c r="A60" s="2"/>
      <c r="B60" s="2"/>
      <c r="C60" s="2"/>
      <c r="D60" s="2"/>
      <c r="E60" s="2" t="s">
        <v>71</v>
      </c>
      <c r="F60" s="30" t="s">
        <v>49</v>
      </c>
      <c r="G60" s="30"/>
      <c r="H60" s="2" t="s">
        <v>212</v>
      </c>
      <c r="I60" s="4"/>
      <c r="J60" s="27"/>
      <c r="K60" s="27"/>
    </row>
    <row r="61" spans="1:11" x14ac:dyDescent="0.25">
      <c r="A61" s="2"/>
      <c r="B61" s="2"/>
      <c r="C61" s="2"/>
      <c r="D61" s="2"/>
      <c r="E61" s="2" t="s">
        <v>72</v>
      </c>
      <c r="F61" s="28" t="s">
        <v>75</v>
      </c>
      <c r="G61" s="28"/>
      <c r="H61" s="28"/>
      <c r="I61" s="28"/>
      <c r="J61" s="2" t="s">
        <v>213</v>
      </c>
      <c r="K61" s="5">
        <f>SUM(I57:I60)</f>
        <v>0</v>
      </c>
    </row>
    <row r="62" spans="1:11" x14ac:dyDescent="0.25">
      <c r="A62" s="2"/>
      <c r="B62" s="2"/>
      <c r="C62" s="2"/>
      <c r="D62" s="2" t="s">
        <v>7</v>
      </c>
      <c r="E62" s="28" t="s">
        <v>53</v>
      </c>
      <c r="F62" s="28"/>
      <c r="G62" s="28"/>
      <c r="H62" s="28"/>
      <c r="I62" s="28"/>
      <c r="J62" s="2" t="s">
        <v>7</v>
      </c>
      <c r="K62" s="4"/>
    </row>
    <row r="63" spans="1:11" x14ac:dyDescent="0.25">
      <c r="A63" s="2"/>
      <c r="B63" s="2"/>
      <c r="C63" s="2"/>
      <c r="D63" s="2" t="s">
        <v>8</v>
      </c>
      <c r="E63" s="28" t="s">
        <v>55</v>
      </c>
      <c r="F63" s="28"/>
      <c r="G63" s="28"/>
      <c r="H63" s="28"/>
      <c r="I63" s="28"/>
      <c r="J63" s="2" t="s">
        <v>8</v>
      </c>
      <c r="K63" s="4"/>
    </row>
    <row r="64" spans="1:11" x14ac:dyDescent="0.25">
      <c r="A64" s="2"/>
      <c r="B64" s="2"/>
      <c r="C64" s="2"/>
      <c r="D64" s="2" t="s">
        <v>9</v>
      </c>
      <c r="E64" s="28" t="s">
        <v>56</v>
      </c>
      <c r="F64" s="28"/>
      <c r="G64" s="28"/>
      <c r="H64" s="28"/>
      <c r="I64" s="28"/>
      <c r="J64" s="2" t="s">
        <v>9</v>
      </c>
      <c r="K64" s="4"/>
    </row>
    <row r="65" spans="1:11" x14ac:dyDescent="0.25">
      <c r="A65" s="2"/>
      <c r="B65" s="2"/>
      <c r="C65" s="2"/>
      <c r="D65" s="2" t="s">
        <v>15</v>
      </c>
      <c r="E65" s="28" t="s">
        <v>54</v>
      </c>
      <c r="F65" s="28"/>
      <c r="G65" s="28"/>
      <c r="H65" s="28"/>
      <c r="I65" s="28"/>
      <c r="J65" s="2" t="s">
        <v>15</v>
      </c>
      <c r="K65" s="4"/>
    </row>
    <row r="66" spans="1:11" x14ac:dyDescent="0.25">
      <c r="A66" s="2"/>
      <c r="B66" s="2"/>
      <c r="C66" s="2"/>
      <c r="D66" s="2" t="s">
        <v>16</v>
      </c>
      <c r="E66" s="28" t="s">
        <v>76</v>
      </c>
      <c r="F66" s="28"/>
      <c r="G66" s="28"/>
      <c r="H66" s="28"/>
      <c r="I66" s="28"/>
      <c r="J66" s="2" t="s">
        <v>214</v>
      </c>
      <c r="K66" s="5">
        <f>SUM(K61:K65)</f>
        <v>0</v>
      </c>
    </row>
    <row r="67" spans="1:11" x14ac:dyDescent="0.25">
      <c r="A67" s="2"/>
      <c r="B67" s="2"/>
      <c r="C67" s="2" t="s">
        <v>13</v>
      </c>
      <c r="D67" s="28" t="s">
        <v>61</v>
      </c>
      <c r="E67" s="28"/>
      <c r="F67" s="28"/>
      <c r="G67" s="28"/>
      <c r="H67" s="28"/>
      <c r="I67" s="28"/>
      <c r="J67" s="27"/>
      <c r="K67" s="27"/>
    </row>
    <row r="68" spans="1:11" x14ac:dyDescent="0.25">
      <c r="A68" s="2"/>
      <c r="B68" s="2"/>
      <c r="C68" s="2"/>
      <c r="D68" s="2"/>
      <c r="E68" s="3" t="s">
        <v>5</v>
      </c>
      <c r="F68" s="28" t="s">
        <v>77</v>
      </c>
      <c r="G68" s="28"/>
      <c r="H68" s="2" t="s">
        <v>5</v>
      </c>
      <c r="I68" s="4"/>
      <c r="J68" s="27"/>
      <c r="K68" s="27"/>
    </row>
    <row r="69" spans="1:11" x14ac:dyDescent="0.25">
      <c r="A69" s="2"/>
      <c r="B69" s="2"/>
      <c r="C69" s="2"/>
      <c r="D69" s="2"/>
      <c r="E69" s="3" t="s">
        <v>7</v>
      </c>
      <c r="F69" s="28" t="s">
        <v>62</v>
      </c>
      <c r="G69" s="28"/>
      <c r="H69" s="2" t="s">
        <v>7</v>
      </c>
      <c r="I69" s="4"/>
      <c r="J69" s="27"/>
      <c r="K69" s="27"/>
    </row>
    <row r="70" spans="1:11" x14ac:dyDescent="0.25">
      <c r="A70" s="2"/>
      <c r="B70" s="2"/>
      <c r="C70" s="2"/>
      <c r="D70" s="2"/>
      <c r="E70" s="3" t="s">
        <v>8</v>
      </c>
      <c r="F70" s="28" t="s">
        <v>78</v>
      </c>
      <c r="G70" s="28"/>
      <c r="H70" s="28"/>
      <c r="I70" s="28"/>
      <c r="J70" s="2" t="s">
        <v>215</v>
      </c>
      <c r="K70" s="5">
        <f>SUM(I68:I69)</f>
        <v>0</v>
      </c>
    </row>
    <row r="71" spans="1:11" x14ac:dyDescent="0.25">
      <c r="A71" s="2"/>
      <c r="B71" s="2"/>
      <c r="C71" s="2" t="s">
        <v>32</v>
      </c>
      <c r="D71" s="28" t="s">
        <v>79</v>
      </c>
      <c r="E71" s="28"/>
      <c r="F71" s="28"/>
      <c r="G71" s="28"/>
      <c r="H71" s="28"/>
      <c r="I71" s="28"/>
      <c r="J71" s="27"/>
      <c r="K71" s="27"/>
    </row>
    <row r="72" spans="1:11" x14ac:dyDescent="0.25">
      <c r="A72" s="2"/>
      <c r="B72" s="2"/>
      <c r="C72" s="2"/>
      <c r="D72" s="2" t="s">
        <v>5</v>
      </c>
      <c r="E72" s="30" t="s">
        <v>82</v>
      </c>
      <c r="F72" s="30"/>
      <c r="G72" s="30"/>
      <c r="H72" s="2" t="s">
        <v>5</v>
      </c>
      <c r="I72" s="4"/>
      <c r="J72" s="27"/>
      <c r="K72" s="27"/>
    </row>
    <row r="73" spans="1:11" x14ac:dyDescent="0.25">
      <c r="A73" s="2"/>
      <c r="B73" s="2"/>
      <c r="C73" s="2"/>
      <c r="D73" s="2" t="s">
        <v>7</v>
      </c>
      <c r="E73" s="30" t="s">
        <v>83</v>
      </c>
      <c r="F73" s="30"/>
      <c r="G73" s="30"/>
      <c r="H73" s="2" t="s">
        <v>7</v>
      </c>
      <c r="I73" s="4"/>
      <c r="J73" s="27"/>
      <c r="K73" s="27"/>
    </row>
    <row r="74" spans="1:11" x14ac:dyDescent="0.25">
      <c r="A74" s="2"/>
      <c r="B74" s="2"/>
      <c r="C74" s="2"/>
      <c r="D74" s="2" t="s">
        <v>8</v>
      </c>
      <c r="E74" s="30" t="s">
        <v>84</v>
      </c>
      <c r="F74" s="30"/>
      <c r="G74" s="30"/>
      <c r="H74" s="2" t="s">
        <v>8</v>
      </c>
      <c r="I74" s="4"/>
      <c r="J74" s="27"/>
      <c r="K74" s="27"/>
    </row>
    <row r="75" spans="1:11" x14ac:dyDescent="0.25">
      <c r="A75" s="2"/>
      <c r="B75" s="2"/>
      <c r="C75" s="2"/>
      <c r="D75" s="2" t="s">
        <v>9</v>
      </c>
      <c r="E75" s="30" t="s">
        <v>85</v>
      </c>
      <c r="F75" s="30"/>
      <c r="G75" s="30"/>
      <c r="H75" s="2" t="s">
        <v>9</v>
      </c>
      <c r="I75" s="4"/>
      <c r="J75" s="27"/>
      <c r="K75" s="27"/>
    </row>
    <row r="76" spans="1:11" x14ac:dyDescent="0.25">
      <c r="A76" s="2"/>
      <c r="B76" s="2"/>
      <c r="C76" s="2"/>
      <c r="D76" s="2" t="s">
        <v>15</v>
      </c>
      <c r="E76" s="30" t="s">
        <v>86</v>
      </c>
      <c r="F76" s="30"/>
      <c r="G76" s="30"/>
      <c r="H76" s="2" t="s">
        <v>15</v>
      </c>
      <c r="I76" s="4"/>
      <c r="J76" s="27"/>
      <c r="K76" s="27"/>
    </row>
    <row r="77" spans="1:11" x14ac:dyDescent="0.25">
      <c r="A77" s="2"/>
      <c r="B77" s="2"/>
      <c r="C77" s="2"/>
      <c r="D77" s="2" t="s">
        <v>16</v>
      </c>
      <c r="E77" s="30" t="s">
        <v>87</v>
      </c>
      <c r="F77" s="30"/>
      <c r="G77" s="30"/>
      <c r="H77" s="2" t="s">
        <v>16</v>
      </c>
      <c r="I77" s="4"/>
      <c r="J77" s="27"/>
      <c r="K77" s="27"/>
    </row>
    <row r="78" spans="1:11" x14ac:dyDescent="0.25">
      <c r="A78" s="2"/>
      <c r="B78" s="2"/>
      <c r="C78" s="2"/>
      <c r="D78" s="2" t="s">
        <v>17</v>
      </c>
      <c r="E78" s="30" t="s">
        <v>88</v>
      </c>
      <c r="F78" s="30"/>
      <c r="G78" s="30"/>
      <c r="H78" s="2" t="s">
        <v>17</v>
      </c>
      <c r="I78" s="4"/>
      <c r="J78" s="27"/>
      <c r="K78" s="27"/>
    </row>
    <row r="79" spans="1:11" x14ac:dyDescent="0.25">
      <c r="A79" s="2"/>
      <c r="B79" s="2"/>
      <c r="C79" s="2"/>
      <c r="D79" s="2" t="s">
        <v>21</v>
      </c>
      <c r="E79" s="30" t="s">
        <v>89</v>
      </c>
      <c r="F79" s="30"/>
      <c r="G79" s="30"/>
      <c r="H79" s="2" t="s">
        <v>21</v>
      </c>
      <c r="I79" s="4"/>
      <c r="J79" s="27"/>
      <c r="K79" s="27"/>
    </row>
    <row r="80" spans="1:11" x14ac:dyDescent="0.25">
      <c r="A80" s="2"/>
      <c r="B80" s="2"/>
      <c r="C80" s="2"/>
      <c r="D80" s="2" t="s">
        <v>22</v>
      </c>
      <c r="E80" s="30" t="s">
        <v>90</v>
      </c>
      <c r="F80" s="30"/>
      <c r="G80" s="30"/>
      <c r="H80" s="2" t="s">
        <v>22</v>
      </c>
      <c r="I80" s="4"/>
      <c r="J80" s="27"/>
      <c r="K80" s="27"/>
    </row>
    <row r="81" spans="1:11" x14ac:dyDescent="0.25">
      <c r="A81" s="2"/>
      <c r="B81" s="2"/>
      <c r="C81" s="2"/>
      <c r="D81" s="2" t="s">
        <v>80</v>
      </c>
      <c r="E81" s="30" t="s">
        <v>91</v>
      </c>
      <c r="F81" s="30"/>
      <c r="G81" s="30"/>
      <c r="H81" s="2" t="s">
        <v>80</v>
      </c>
      <c r="I81" s="4"/>
      <c r="J81" s="27"/>
      <c r="K81" s="27"/>
    </row>
    <row r="82" spans="1:11" x14ac:dyDescent="0.25">
      <c r="A82" s="2"/>
      <c r="B82" s="2"/>
      <c r="C82" s="2"/>
      <c r="D82" s="2" t="s">
        <v>81</v>
      </c>
      <c r="E82" s="28" t="s">
        <v>92</v>
      </c>
      <c r="F82" s="28"/>
      <c r="G82" s="28"/>
      <c r="H82" s="28"/>
      <c r="I82" s="28"/>
      <c r="J82" s="2" t="s">
        <v>216</v>
      </c>
      <c r="K82" s="5">
        <f>SUM(I72:I81)</f>
        <v>0</v>
      </c>
    </row>
    <row r="83" spans="1:11" x14ac:dyDescent="0.25">
      <c r="A83" s="2"/>
      <c r="B83" s="2"/>
      <c r="C83" s="2" t="s">
        <v>34</v>
      </c>
      <c r="D83" s="28" t="s">
        <v>93</v>
      </c>
      <c r="E83" s="28"/>
      <c r="F83" s="28"/>
      <c r="G83" s="28"/>
      <c r="H83" s="28"/>
      <c r="I83" s="28"/>
      <c r="J83" s="27"/>
      <c r="K83" s="27"/>
    </row>
    <row r="84" spans="1:11" x14ac:dyDescent="0.25">
      <c r="A84" s="2"/>
      <c r="B84" s="2"/>
      <c r="C84" s="2"/>
      <c r="D84" s="2" t="s">
        <v>5</v>
      </c>
      <c r="E84" s="30" t="s">
        <v>94</v>
      </c>
      <c r="F84" s="30"/>
      <c r="G84" s="30"/>
      <c r="H84" s="2" t="s">
        <v>5</v>
      </c>
      <c r="I84" s="4"/>
      <c r="J84" s="27"/>
      <c r="K84" s="27"/>
    </row>
    <row r="85" spans="1:11" x14ac:dyDescent="0.25">
      <c r="A85" s="2"/>
      <c r="B85" s="2"/>
      <c r="C85" s="2"/>
      <c r="D85" s="2" t="s">
        <v>7</v>
      </c>
      <c r="E85" s="30" t="s">
        <v>95</v>
      </c>
      <c r="F85" s="30"/>
      <c r="G85" s="30"/>
      <c r="H85" s="2" t="s">
        <v>7</v>
      </c>
      <c r="I85" s="4"/>
      <c r="J85" s="27"/>
      <c r="K85" s="27"/>
    </row>
    <row r="86" spans="1:11" x14ac:dyDescent="0.25">
      <c r="A86" s="2"/>
      <c r="B86" s="2"/>
      <c r="C86" s="2"/>
      <c r="D86" s="2" t="s">
        <v>8</v>
      </c>
      <c r="E86" s="30" t="s">
        <v>96</v>
      </c>
      <c r="F86" s="30"/>
      <c r="G86" s="30"/>
      <c r="H86" s="2" t="s">
        <v>8</v>
      </c>
      <c r="I86" s="4"/>
      <c r="J86" s="27"/>
      <c r="K86" s="27"/>
    </row>
    <row r="87" spans="1:11" x14ac:dyDescent="0.25">
      <c r="A87" s="2"/>
      <c r="B87" s="2"/>
      <c r="C87" s="2"/>
      <c r="D87" s="2" t="s">
        <v>9</v>
      </c>
      <c r="E87" s="30" t="s">
        <v>97</v>
      </c>
      <c r="F87" s="30"/>
      <c r="G87" s="30"/>
      <c r="H87" s="2" t="s">
        <v>9</v>
      </c>
      <c r="I87" s="4"/>
      <c r="J87" s="27"/>
      <c r="K87" s="27"/>
    </row>
    <row r="88" spans="1:11" x14ac:dyDescent="0.25">
      <c r="A88" s="2"/>
      <c r="B88" s="2"/>
      <c r="C88" s="2"/>
      <c r="D88" s="2" t="s">
        <v>15</v>
      </c>
      <c r="E88" s="30" t="s">
        <v>98</v>
      </c>
      <c r="F88" s="30"/>
      <c r="G88" s="30"/>
      <c r="H88" s="2" t="s">
        <v>15</v>
      </c>
      <c r="I88" s="4"/>
      <c r="J88" s="27"/>
      <c r="K88" s="27"/>
    </row>
    <row r="89" spans="1:11" x14ac:dyDescent="0.25">
      <c r="A89" s="2"/>
      <c r="B89" s="2"/>
      <c r="C89" s="2"/>
      <c r="D89" s="2" t="s">
        <v>16</v>
      </c>
      <c r="E89" s="28" t="s">
        <v>99</v>
      </c>
      <c r="F89" s="28"/>
      <c r="G89" s="28"/>
      <c r="H89" s="28"/>
      <c r="I89" s="28"/>
      <c r="J89" s="2" t="s">
        <v>217</v>
      </c>
      <c r="K89" s="5">
        <f>SUM(I84:I88)</f>
        <v>0</v>
      </c>
    </row>
    <row r="90" spans="1:11" x14ac:dyDescent="0.25">
      <c r="A90" s="2"/>
      <c r="B90" s="2"/>
      <c r="C90" s="2" t="s">
        <v>66</v>
      </c>
      <c r="D90" s="28" t="s">
        <v>100</v>
      </c>
      <c r="E90" s="28"/>
      <c r="F90" s="28"/>
      <c r="G90" s="28"/>
      <c r="H90" s="28"/>
      <c r="I90" s="28"/>
      <c r="J90" s="2" t="s">
        <v>218</v>
      </c>
      <c r="K90" s="5">
        <f>SUM(K66,K70,K82,K89)</f>
        <v>0</v>
      </c>
    </row>
    <row r="91" spans="1:11" x14ac:dyDescent="0.25">
      <c r="A91" s="2"/>
      <c r="B91" s="28" t="s">
        <v>101</v>
      </c>
      <c r="C91" s="28"/>
      <c r="D91" s="28"/>
      <c r="E91" s="28"/>
      <c r="F91" s="28"/>
      <c r="G91" s="28"/>
      <c r="H91" s="28"/>
      <c r="I91" s="28"/>
      <c r="J91" s="2" t="s">
        <v>0</v>
      </c>
      <c r="K91" s="5">
        <f>SUM(K19,K23,K53,K90)</f>
        <v>0</v>
      </c>
    </row>
    <row r="92" spans="1:11" x14ac:dyDescent="0.25">
      <c r="A92" s="2" t="s">
        <v>102</v>
      </c>
      <c r="B92" s="32" t="s">
        <v>103</v>
      </c>
      <c r="C92" s="32"/>
      <c r="D92" s="32"/>
      <c r="E92" s="32"/>
      <c r="F92" s="32"/>
      <c r="G92" s="32"/>
      <c r="H92" s="32"/>
      <c r="I92" s="32"/>
      <c r="J92" s="27"/>
      <c r="K92" s="27"/>
    </row>
    <row r="93" spans="1:11" x14ac:dyDescent="0.25">
      <c r="A93" s="2"/>
      <c r="B93" s="2">
        <v>1</v>
      </c>
      <c r="C93" s="28" t="s">
        <v>104</v>
      </c>
      <c r="D93" s="28"/>
      <c r="E93" s="28"/>
      <c r="F93" s="28"/>
      <c r="G93" s="28"/>
      <c r="H93" s="28"/>
      <c r="I93" s="28"/>
      <c r="J93" s="27"/>
      <c r="K93" s="27"/>
    </row>
    <row r="94" spans="1:11" x14ac:dyDescent="0.25">
      <c r="A94" s="2"/>
      <c r="B94" s="2"/>
      <c r="C94" s="2" t="s">
        <v>3</v>
      </c>
      <c r="D94" s="28" t="s">
        <v>105</v>
      </c>
      <c r="E94" s="28"/>
      <c r="F94" s="28"/>
      <c r="G94" s="28"/>
      <c r="H94" s="28"/>
      <c r="I94" s="28"/>
      <c r="J94" s="27"/>
      <c r="K94" s="27"/>
    </row>
    <row r="95" spans="1:11" x14ac:dyDescent="0.25">
      <c r="A95" s="2"/>
      <c r="B95" s="2"/>
      <c r="C95" s="2"/>
      <c r="D95" s="2" t="s">
        <v>5</v>
      </c>
      <c r="E95" s="31" t="s">
        <v>106</v>
      </c>
      <c r="F95" s="31"/>
      <c r="G95" s="31"/>
      <c r="H95" s="31"/>
      <c r="I95" s="31"/>
      <c r="J95" s="27"/>
      <c r="K95" s="27"/>
    </row>
    <row r="96" spans="1:11" x14ac:dyDescent="0.25">
      <c r="A96" s="2"/>
      <c r="B96" s="2"/>
      <c r="C96" s="2"/>
      <c r="D96" s="2"/>
      <c r="E96" s="2" t="s">
        <v>18</v>
      </c>
      <c r="F96" s="28" t="s">
        <v>107</v>
      </c>
      <c r="G96" s="28"/>
      <c r="H96" s="2" t="s">
        <v>199</v>
      </c>
      <c r="I96" s="4"/>
      <c r="J96" s="27"/>
      <c r="K96" s="27"/>
    </row>
    <row r="97" spans="1:11" x14ac:dyDescent="0.25">
      <c r="A97" s="2"/>
      <c r="B97" s="2"/>
      <c r="C97" s="2"/>
      <c r="D97" s="2"/>
      <c r="E97" s="2" t="s">
        <v>19</v>
      </c>
      <c r="F97" s="28" t="s">
        <v>108</v>
      </c>
      <c r="G97" s="28"/>
      <c r="H97" s="2" t="s">
        <v>200</v>
      </c>
      <c r="I97" s="4"/>
      <c r="J97" s="27"/>
      <c r="K97" s="27"/>
    </row>
    <row r="98" spans="1:11" x14ac:dyDescent="0.25">
      <c r="A98" s="2"/>
      <c r="B98" s="2"/>
      <c r="C98" s="2"/>
      <c r="D98" s="2"/>
      <c r="E98" s="2" t="s">
        <v>20</v>
      </c>
      <c r="F98" s="28" t="s">
        <v>109</v>
      </c>
      <c r="G98" s="28"/>
      <c r="H98" s="2" t="s">
        <v>201</v>
      </c>
      <c r="I98" s="4"/>
      <c r="J98" s="27"/>
      <c r="K98" s="27"/>
    </row>
    <row r="99" spans="1:11" x14ac:dyDescent="0.25">
      <c r="A99" s="2"/>
      <c r="B99" s="2"/>
      <c r="C99" s="2"/>
      <c r="D99" s="2"/>
      <c r="E99" s="2" t="s">
        <v>71</v>
      </c>
      <c r="F99" s="28" t="s">
        <v>110</v>
      </c>
      <c r="G99" s="28"/>
      <c r="H99" s="2" t="s">
        <v>212</v>
      </c>
      <c r="I99" s="5">
        <f>I96-I97-I98</f>
        <v>0</v>
      </c>
      <c r="J99" s="27"/>
      <c r="K99" s="27"/>
    </row>
    <row r="100" spans="1:11" x14ac:dyDescent="0.25">
      <c r="A100" s="2"/>
      <c r="B100" s="2"/>
      <c r="C100" s="2"/>
      <c r="D100" s="2" t="s">
        <v>7</v>
      </c>
      <c r="E100" s="28" t="s">
        <v>111</v>
      </c>
      <c r="F100" s="28"/>
      <c r="G100" s="28"/>
      <c r="H100" s="28"/>
      <c r="I100" s="28"/>
      <c r="J100" s="27"/>
      <c r="K100" s="27"/>
    </row>
    <row r="101" spans="1:11" x14ac:dyDescent="0.25">
      <c r="A101" s="2"/>
      <c r="B101" s="2"/>
      <c r="C101" s="2"/>
      <c r="D101" s="2"/>
      <c r="E101" s="2" t="s">
        <v>18</v>
      </c>
      <c r="F101" s="28" t="s">
        <v>107</v>
      </c>
      <c r="G101" s="28"/>
      <c r="H101" s="2" t="s">
        <v>202</v>
      </c>
      <c r="I101" s="4"/>
      <c r="J101" s="27"/>
      <c r="K101" s="27"/>
    </row>
    <row r="102" spans="1:11" x14ac:dyDescent="0.25">
      <c r="A102" s="2"/>
      <c r="B102" s="2"/>
      <c r="C102" s="2"/>
      <c r="D102" s="2"/>
      <c r="E102" s="2" t="s">
        <v>19</v>
      </c>
      <c r="F102" s="28" t="s">
        <v>112</v>
      </c>
      <c r="G102" s="28"/>
      <c r="H102" s="2" t="s">
        <v>219</v>
      </c>
      <c r="I102" s="4"/>
      <c r="J102" s="27"/>
      <c r="K102" s="27"/>
    </row>
    <row r="103" spans="1:11" x14ac:dyDescent="0.25">
      <c r="A103" s="2"/>
      <c r="B103" s="2"/>
      <c r="C103" s="2"/>
      <c r="D103" s="2"/>
      <c r="E103" s="2" t="s">
        <v>20</v>
      </c>
      <c r="F103" s="28" t="s">
        <v>109</v>
      </c>
      <c r="G103" s="28"/>
      <c r="H103" s="2" t="s">
        <v>206</v>
      </c>
      <c r="I103" s="4"/>
      <c r="J103" s="27"/>
      <c r="K103" s="27"/>
    </row>
    <row r="104" spans="1:11" x14ac:dyDescent="0.25">
      <c r="A104" s="2"/>
      <c r="B104" s="2"/>
      <c r="C104" s="2"/>
      <c r="D104" s="2"/>
      <c r="E104" s="2" t="s">
        <v>71</v>
      </c>
      <c r="F104" s="28" t="s">
        <v>113</v>
      </c>
      <c r="G104" s="28"/>
      <c r="H104" s="2" t="s">
        <v>220</v>
      </c>
      <c r="I104" s="5">
        <f>I101-I102-I103</f>
        <v>0</v>
      </c>
      <c r="J104" s="27"/>
      <c r="K104" s="27"/>
    </row>
    <row r="105" spans="1:11" x14ac:dyDescent="0.25">
      <c r="A105" s="2"/>
      <c r="B105" s="2"/>
      <c r="C105" s="2"/>
      <c r="D105" s="2" t="s">
        <v>8</v>
      </c>
      <c r="E105" s="28" t="s">
        <v>114</v>
      </c>
      <c r="F105" s="28"/>
      <c r="G105" s="28"/>
      <c r="H105" s="2" t="s">
        <v>8</v>
      </c>
      <c r="I105" s="4"/>
      <c r="J105" s="27"/>
      <c r="K105" s="27"/>
    </row>
    <row r="106" spans="1:11" x14ac:dyDescent="0.25">
      <c r="A106" s="2"/>
      <c r="B106" s="2"/>
      <c r="C106" s="2"/>
      <c r="D106" s="2" t="s">
        <v>9</v>
      </c>
      <c r="E106" s="28" t="s">
        <v>115</v>
      </c>
      <c r="F106" s="28"/>
      <c r="G106" s="28"/>
      <c r="H106" s="2" t="s">
        <v>9</v>
      </c>
      <c r="I106" s="4"/>
      <c r="J106" s="27"/>
      <c r="K106" s="27"/>
    </row>
    <row r="107" spans="1:11" x14ac:dyDescent="0.25">
      <c r="A107" s="2"/>
      <c r="B107" s="2"/>
      <c r="C107" s="2"/>
      <c r="D107" s="2" t="s">
        <v>15</v>
      </c>
      <c r="E107" s="28" t="s">
        <v>116</v>
      </c>
      <c r="F107" s="28"/>
      <c r="G107" s="28"/>
      <c r="H107" s="28"/>
      <c r="I107" s="28"/>
      <c r="J107" s="2" t="s">
        <v>221</v>
      </c>
      <c r="K107" s="5">
        <f>SUM(I99,I104,I105:I106)</f>
        <v>0</v>
      </c>
    </row>
    <row r="108" spans="1:11" x14ac:dyDescent="0.25">
      <c r="A108" s="2"/>
      <c r="B108" s="2"/>
      <c r="C108" s="2" t="s">
        <v>13</v>
      </c>
      <c r="D108" s="28" t="s">
        <v>117</v>
      </c>
      <c r="E108" s="28"/>
      <c r="F108" s="28"/>
      <c r="G108" s="28"/>
      <c r="H108" s="28"/>
      <c r="I108" s="28"/>
      <c r="J108" s="27"/>
      <c r="K108" s="27"/>
    </row>
    <row r="109" spans="1:11" x14ac:dyDescent="0.25">
      <c r="A109" s="2"/>
      <c r="B109" s="2"/>
      <c r="C109" s="2"/>
      <c r="D109" s="2" t="s">
        <v>5</v>
      </c>
      <c r="E109" s="28" t="s">
        <v>118</v>
      </c>
      <c r="F109" s="28"/>
      <c r="G109" s="28"/>
      <c r="H109" s="2" t="s">
        <v>5</v>
      </c>
      <c r="I109" s="4"/>
      <c r="J109" s="27"/>
      <c r="K109" s="27"/>
    </row>
    <row r="110" spans="1:11" x14ac:dyDescent="0.25">
      <c r="A110" s="2"/>
      <c r="B110" s="2"/>
      <c r="C110" s="2"/>
      <c r="D110" s="2" t="s">
        <v>7</v>
      </c>
      <c r="E110" s="28" t="s">
        <v>119</v>
      </c>
      <c r="F110" s="28"/>
      <c r="G110" s="28"/>
      <c r="H110" s="28"/>
      <c r="I110" s="28"/>
      <c r="J110" s="27"/>
      <c r="K110" s="27"/>
    </row>
    <row r="111" spans="1:11" x14ac:dyDescent="0.25">
      <c r="A111" s="2"/>
      <c r="B111" s="2"/>
      <c r="C111" s="2"/>
      <c r="D111" s="2"/>
      <c r="E111" s="3" t="s">
        <v>18</v>
      </c>
      <c r="F111" s="28" t="s">
        <v>120</v>
      </c>
      <c r="G111" s="28"/>
      <c r="H111" s="2" t="s">
        <v>202</v>
      </c>
      <c r="I111" s="4"/>
      <c r="J111" s="27"/>
      <c r="K111" s="27"/>
    </row>
    <row r="112" spans="1:11" x14ac:dyDescent="0.25">
      <c r="A112" s="2"/>
      <c r="B112" s="2"/>
      <c r="C112" s="2"/>
      <c r="D112" s="2"/>
      <c r="E112" s="3" t="s">
        <v>19</v>
      </c>
      <c r="F112" s="28" t="s">
        <v>121</v>
      </c>
      <c r="G112" s="28"/>
      <c r="H112" s="2" t="s">
        <v>219</v>
      </c>
      <c r="I112" s="4"/>
      <c r="J112" s="27"/>
      <c r="K112" s="27"/>
    </row>
    <row r="113" spans="1:11" x14ac:dyDescent="0.25">
      <c r="A113" s="2"/>
      <c r="B113" s="2"/>
      <c r="C113" s="2"/>
      <c r="D113" s="2"/>
      <c r="E113" s="3" t="s">
        <v>20</v>
      </c>
      <c r="F113" s="28" t="s">
        <v>122</v>
      </c>
      <c r="G113" s="28"/>
      <c r="H113" s="2" t="s">
        <v>206</v>
      </c>
      <c r="I113" s="5">
        <f>SUM(I111:I112)</f>
        <v>0</v>
      </c>
      <c r="J113" s="27"/>
      <c r="K113" s="27"/>
    </row>
    <row r="114" spans="1:11" x14ac:dyDescent="0.25">
      <c r="A114" s="2"/>
      <c r="B114" s="2"/>
      <c r="C114" s="2"/>
      <c r="D114" s="2" t="s">
        <v>8</v>
      </c>
      <c r="E114" s="28" t="s">
        <v>123</v>
      </c>
      <c r="F114" s="28"/>
      <c r="G114" s="28"/>
      <c r="H114" s="2" t="s">
        <v>8</v>
      </c>
      <c r="I114" s="4"/>
      <c r="J114" s="27"/>
      <c r="K114" s="27"/>
    </row>
    <row r="115" spans="1:11" x14ac:dyDescent="0.25">
      <c r="A115" s="2"/>
      <c r="B115" s="2"/>
      <c r="C115" s="2"/>
      <c r="D115" s="2" t="s">
        <v>9</v>
      </c>
      <c r="E115" s="28" t="s">
        <v>124</v>
      </c>
      <c r="F115" s="28"/>
      <c r="G115" s="28"/>
      <c r="H115" s="2" t="s">
        <v>9</v>
      </c>
      <c r="I115" s="4"/>
      <c r="J115" s="27"/>
      <c r="K115" s="27"/>
    </row>
    <row r="116" spans="1:11" x14ac:dyDescent="0.25">
      <c r="A116" s="2"/>
      <c r="B116" s="2"/>
      <c r="C116" s="2"/>
      <c r="D116" s="2" t="s">
        <v>15</v>
      </c>
      <c r="E116" s="28" t="s">
        <v>125</v>
      </c>
      <c r="F116" s="28"/>
      <c r="G116" s="28"/>
      <c r="H116" s="2" t="s">
        <v>15</v>
      </c>
      <c r="I116" s="4"/>
      <c r="J116" s="27"/>
      <c r="K116" s="27"/>
    </row>
    <row r="117" spans="1:11" x14ac:dyDescent="0.25">
      <c r="A117" s="2"/>
      <c r="B117" s="2"/>
      <c r="C117" s="2"/>
      <c r="D117" s="2" t="s">
        <v>16</v>
      </c>
      <c r="E117" s="28" t="s">
        <v>126</v>
      </c>
      <c r="F117" s="28"/>
      <c r="G117" s="28"/>
      <c r="H117" s="2" t="s">
        <v>16</v>
      </c>
      <c r="I117" s="4"/>
      <c r="J117" s="27"/>
      <c r="K117" s="27"/>
    </row>
    <row r="118" spans="1:11" x14ac:dyDescent="0.25">
      <c r="A118" s="2"/>
      <c r="B118" s="2"/>
      <c r="C118" s="2"/>
      <c r="D118" s="2" t="s">
        <v>17</v>
      </c>
      <c r="E118" s="28" t="s">
        <v>127</v>
      </c>
      <c r="F118" s="28"/>
      <c r="G118" s="28"/>
      <c r="H118" s="2" t="s">
        <v>17</v>
      </c>
      <c r="I118" s="4"/>
      <c r="J118" s="27"/>
      <c r="K118" s="27"/>
    </row>
    <row r="119" spans="1:11" x14ac:dyDescent="0.25">
      <c r="A119" s="2"/>
      <c r="B119" s="2"/>
      <c r="C119" s="2"/>
      <c r="D119" s="2" t="s">
        <v>21</v>
      </c>
      <c r="E119" s="28" t="s">
        <v>128</v>
      </c>
      <c r="F119" s="28"/>
      <c r="G119" s="28"/>
      <c r="H119" s="2" t="s">
        <v>21</v>
      </c>
      <c r="I119" s="4"/>
      <c r="J119" s="27"/>
      <c r="K119" s="27"/>
    </row>
    <row r="120" spans="1:11" x14ac:dyDescent="0.25">
      <c r="A120" s="2"/>
      <c r="B120" s="2"/>
      <c r="C120" s="2"/>
      <c r="D120" s="2" t="s">
        <v>22</v>
      </c>
      <c r="E120" s="28" t="s">
        <v>129</v>
      </c>
      <c r="F120" s="28"/>
      <c r="G120" s="28"/>
      <c r="H120" s="28"/>
      <c r="I120" s="28"/>
      <c r="J120" s="2" t="s">
        <v>222</v>
      </c>
      <c r="K120" s="5">
        <f>SUM(I109,I113:I119)</f>
        <v>0</v>
      </c>
    </row>
    <row r="121" spans="1:11" x14ac:dyDescent="0.25">
      <c r="A121" s="2"/>
      <c r="B121" s="2"/>
      <c r="C121" s="2" t="s">
        <v>32</v>
      </c>
      <c r="D121" s="28" t="s">
        <v>130</v>
      </c>
      <c r="E121" s="28"/>
      <c r="F121" s="28"/>
      <c r="G121" s="28"/>
      <c r="H121" s="28"/>
      <c r="I121" s="28"/>
      <c r="J121" s="2" t="s">
        <v>32</v>
      </c>
      <c r="K121" s="4"/>
    </row>
    <row r="122" spans="1:11" x14ac:dyDescent="0.25">
      <c r="A122" s="2"/>
      <c r="B122" s="2"/>
      <c r="C122" s="2" t="s">
        <v>34</v>
      </c>
      <c r="D122" s="28" t="s">
        <v>131</v>
      </c>
      <c r="E122" s="28"/>
      <c r="F122" s="28"/>
      <c r="G122" s="28"/>
      <c r="H122" s="28"/>
      <c r="I122" s="28"/>
      <c r="J122" s="27"/>
      <c r="K122" s="27"/>
    </row>
    <row r="123" spans="1:11" x14ac:dyDescent="0.25">
      <c r="A123" s="2"/>
      <c r="B123" s="2"/>
      <c r="C123" s="2"/>
      <c r="D123" s="2" t="s">
        <v>5</v>
      </c>
      <c r="E123" s="28" t="s">
        <v>132</v>
      </c>
      <c r="F123" s="28"/>
      <c r="G123" s="28"/>
      <c r="H123" s="2" t="s">
        <v>5</v>
      </c>
      <c r="I123" s="4"/>
      <c r="J123" s="27"/>
      <c r="K123" s="27"/>
    </row>
    <row r="124" spans="1:11" x14ac:dyDescent="0.25">
      <c r="A124" s="2"/>
      <c r="B124" s="2"/>
      <c r="C124" s="2"/>
      <c r="D124" s="2" t="s">
        <v>7</v>
      </c>
      <c r="E124" s="28" t="s">
        <v>133</v>
      </c>
      <c r="F124" s="28"/>
      <c r="G124" s="28"/>
      <c r="H124" s="2" t="s">
        <v>7</v>
      </c>
      <c r="I124" s="4"/>
      <c r="J124" s="27"/>
      <c r="K124" s="27"/>
    </row>
    <row r="125" spans="1:11" x14ac:dyDescent="0.25">
      <c r="A125" s="2"/>
      <c r="B125" s="2"/>
      <c r="C125" s="2"/>
      <c r="D125" s="2" t="s">
        <v>8</v>
      </c>
      <c r="E125" s="28" t="s">
        <v>134</v>
      </c>
      <c r="F125" s="28"/>
      <c r="G125" s="28"/>
      <c r="H125" s="2" t="s">
        <v>8</v>
      </c>
      <c r="I125" s="4"/>
      <c r="J125" s="27"/>
      <c r="K125" s="27"/>
    </row>
    <row r="126" spans="1:11" x14ac:dyDescent="0.25">
      <c r="A126" s="2"/>
      <c r="B126" s="2"/>
      <c r="C126" s="2"/>
      <c r="D126" s="2" t="s">
        <v>9</v>
      </c>
      <c r="E126" s="28" t="s">
        <v>135</v>
      </c>
      <c r="F126" s="28"/>
      <c r="G126" s="28"/>
      <c r="H126" s="2" t="s">
        <v>9</v>
      </c>
      <c r="I126" s="4"/>
      <c r="J126" s="27"/>
      <c r="K126" s="27"/>
    </row>
    <row r="127" spans="1:11" x14ac:dyDescent="0.25">
      <c r="A127" s="2"/>
      <c r="B127" s="2"/>
      <c r="C127" s="2"/>
      <c r="D127" s="2" t="s">
        <v>15</v>
      </c>
      <c r="E127" s="28" t="s">
        <v>136</v>
      </c>
      <c r="F127" s="28"/>
      <c r="G127" s="28"/>
      <c r="H127" s="28"/>
      <c r="I127" s="28"/>
      <c r="J127" s="2" t="s">
        <v>223</v>
      </c>
      <c r="K127" s="5">
        <f>SUM(I123:I126)</f>
        <v>0</v>
      </c>
    </row>
    <row r="128" spans="1:11" x14ac:dyDescent="0.25">
      <c r="A128" s="2"/>
      <c r="B128" s="2"/>
      <c r="C128" s="2"/>
      <c r="D128" s="2" t="s">
        <v>16</v>
      </c>
      <c r="E128" s="28" t="s">
        <v>137</v>
      </c>
      <c r="F128" s="28"/>
      <c r="G128" s="28"/>
      <c r="H128" s="28"/>
      <c r="I128" s="28"/>
      <c r="J128" s="27"/>
      <c r="K128" s="27"/>
    </row>
    <row r="129" spans="1:11" x14ac:dyDescent="0.25">
      <c r="A129" s="2"/>
      <c r="B129" s="2"/>
      <c r="C129" s="2"/>
      <c r="D129" s="2"/>
      <c r="E129" s="3" t="s">
        <v>18</v>
      </c>
      <c r="F129" s="28" t="s">
        <v>138</v>
      </c>
      <c r="G129" s="28"/>
      <c r="H129" s="2" t="s">
        <v>224</v>
      </c>
      <c r="I129" s="4"/>
      <c r="J129" s="27"/>
      <c r="K129" s="27"/>
    </row>
    <row r="130" spans="1:11" x14ac:dyDescent="0.25">
      <c r="A130" s="2"/>
      <c r="B130" s="2"/>
      <c r="C130" s="2"/>
      <c r="D130" s="2"/>
      <c r="E130" s="3" t="s">
        <v>19</v>
      </c>
      <c r="F130" s="28" t="s">
        <v>139</v>
      </c>
      <c r="G130" s="28"/>
      <c r="H130" s="2" t="s">
        <v>225</v>
      </c>
      <c r="I130" s="4"/>
      <c r="J130" s="27"/>
      <c r="K130" s="27"/>
    </row>
    <row r="131" spans="1:11" x14ac:dyDescent="0.25">
      <c r="A131" s="2"/>
      <c r="B131" s="2"/>
      <c r="C131" s="2"/>
      <c r="D131" s="2"/>
      <c r="E131" s="3" t="s">
        <v>20</v>
      </c>
      <c r="F131" s="30" t="s">
        <v>140</v>
      </c>
      <c r="G131" s="30"/>
      <c r="H131" s="2" t="s">
        <v>226</v>
      </c>
      <c r="I131" s="4"/>
      <c r="J131" s="27"/>
      <c r="K131" s="27"/>
    </row>
    <row r="132" spans="1:11" x14ac:dyDescent="0.25">
      <c r="A132" s="2"/>
      <c r="B132" s="2"/>
      <c r="C132" s="2" t="s">
        <v>66</v>
      </c>
      <c r="D132" s="28" t="s">
        <v>141</v>
      </c>
      <c r="E132" s="28"/>
      <c r="F132" s="28"/>
      <c r="G132" s="28"/>
      <c r="H132" s="28"/>
      <c r="I132" s="28"/>
      <c r="J132" s="27"/>
      <c r="K132" s="27"/>
    </row>
    <row r="133" spans="1:11" x14ac:dyDescent="0.25">
      <c r="A133" s="2"/>
      <c r="B133" s="2"/>
      <c r="C133" s="2"/>
      <c r="D133" s="2" t="s">
        <v>5</v>
      </c>
      <c r="E133" s="28" t="s">
        <v>142</v>
      </c>
      <c r="F133" s="28"/>
      <c r="G133" s="28"/>
      <c r="H133" s="28"/>
      <c r="I133" s="28"/>
      <c r="J133" s="27"/>
      <c r="K133" s="27"/>
    </row>
    <row r="134" spans="1:11" x14ac:dyDescent="0.25">
      <c r="A134" s="2"/>
      <c r="B134" s="2"/>
      <c r="C134" s="2"/>
      <c r="D134" s="2"/>
      <c r="E134" s="3" t="s">
        <v>18</v>
      </c>
      <c r="F134" s="28" t="s">
        <v>143</v>
      </c>
      <c r="G134" s="28"/>
      <c r="H134" s="2" t="s">
        <v>199</v>
      </c>
      <c r="I134" s="4"/>
      <c r="J134" s="27"/>
      <c r="K134" s="27"/>
    </row>
    <row r="135" spans="1:11" x14ac:dyDescent="0.25">
      <c r="A135" s="2"/>
      <c r="B135" s="2"/>
      <c r="C135" s="2"/>
      <c r="D135" s="2"/>
      <c r="E135" s="3" t="s">
        <v>19</v>
      </c>
      <c r="F135" s="28" t="s">
        <v>144</v>
      </c>
      <c r="G135" s="28"/>
      <c r="H135" s="2" t="s">
        <v>200</v>
      </c>
      <c r="I135" s="4"/>
      <c r="J135" s="27"/>
      <c r="K135" s="27"/>
    </row>
    <row r="136" spans="1:11" x14ac:dyDescent="0.25">
      <c r="A136" s="2"/>
      <c r="B136" s="2"/>
      <c r="C136" s="2"/>
      <c r="D136" s="2"/>
      <c r="E136" s="3" t="s">
        <v>20</v>
      </c>
      <c r="F136" s="28" t="s">
        <v>145</v>
      </c>
      <c r="G136" s="28"/>
      <c r="H136" s="2" t="s">
        <v>201</v>
      </c>
      <c r="I136" s="4"/>
      <c r="J136" s="27"/>
      <c r="K136" s="27"/>
    </row>
    <row r="137" spans="1:11" x14ac:dyDescent="0.25">
      <c r="A137" s="2"/>
      <c r="B137" s="2"/>
      <c r="C137" s="2"/>
      <c r="D137" s="2"/>
      <c r="E137" s="3" t="s">
        <v>71</v>
      </c>
      <c r="F137" s="28" t="s">
        <v>146</v>
      </c>
      <c r="G137" s="28"/>
      <c r="H137" s="2" t="s">
        <v>212</v>
      </c>
      <c r="I137" s="5">
        <f>SUM(I134:I136)</f>
        <v>0</v>
      </c>
      <c r="J137" s="27"/>
      <c r="K137" s="27"/>
    </row>
    <row r="138" spans="1:11" x14ac:dyDescent="0.25">
      <c r="A138" s="2"/>
      <c r="B138" s="2"/>
      <c r="C138" s="2"/>
      <c r="D138" s="2" t="s">
        <v>7</v>
      </c>
      <c r="E138" s="28" t="s">
        <v>62</v>
      </c>
      <c r="F138" s="28"/>
      <c r="G138" s="28"/>
      <c r="H138" s="2" t="s">
        <v>7</v>
      </c>
      <c r="I138" s="4"/>
      <c r="J138" s="27"/>
      <c r="K138" s="27"/>
    </row>
    <row r="139" spans="1:11" x14ac:dyDescent="0.25">
      <c r="A139" s="2"/>
      <c r="B139" s="2"/>
      <c r="C139" s="2"/>
      <c r="D139" s="2" t="s">
        <v>8</v>
      </c>
      <c r="E139" s="28" t="s">
        <v>147</v>
      </c>
      <c r="F139" s="28"/>
      <c r="G139" s="28"/>
      <c r="H139" s="28"/>
      <c r="I139" s="28"/>
      <c r="J139" s="2" t="s">
        <v>227</v>
      </c>
      <c r="K139" s="5">
        <f>SUM(I137:I138)</f>
        <v>0</v>
      </c>
    </row>
    <row r="140" spans="1:11" x14ac:dyDescent="0.25">
      <c r="A140" s="2"/>
      <c r="B140" s="2"/>
      <c r="C140" s="2"/>
      <c r="D140" s="2" t="s">
        <v>9</v>
      </c>
      <c r="E140" s="30" t="s">
        <v>148</v>
      </c>
      <c r="F140" s="30"/>
      <c r="G140" s="30"/>
      <c r="H140" s="2" t="s">
        <v>9</v>
      </c>
      <c r="I140" s="4"/>
      <c r="J140" s="27"/>
      <c r="K140" s="27"/>
    </row>
    <row r="141" spans="1:11" x14ac:dyDescent="0.25">
      <c r="A141" s="2"/>
      <c r="B141" s="2"/>
      <c r="C141" s="2" t="s">
        <v>149</v>
      </c>
      <c r="D141" s="28" t="s">
        <v>150</v>
      </c>
      <c r="E141" s="28"/>
      <c r="F141" s="28"/>
      <c r="G141" s="28"/>
      <c r="H141" s="28"/>
      <c r="I141" s="28"/>
      <c r="J141" s="2" t="s">
        <v>228</v>
      </c>
      <c r="K141" s="5">
        <f>SUM(K107,K120:K121,K127,K139)</f>
        <v>0</v>
      </c>
    </row>
    <row r="142" spans="1:11" x14ac:dyDescent="0.25">
      <c r="A142" s="2"/>
      <c r="B142" s="2">
        <v>2</v>
      </c>
      <c r="C142" s="28" t="s">
        <v>151</v>
      </c>
      <c r="D142" s="28"/>
      <c r="E142" s="28"/>
      <c r="F142" s="28"/>
      <c r="G142" s="28"/>
      <c r="H142" s="28"/>
      <c r="I142" s="28"/>
      <c r="J142" s="27"/>
      <c r="K142" s="27"/>
    </row>
    <row r="143" spans="1:11" x14ac:dyDescent="0.25">
      <c r="A143" s="2"/>
      <c r="B143" s="2"/>
      <c r="C143" s="2" t="s">
        <v>3</v>
      </c>
      <c r="D143" s="28" t="s">
        <v>152</v>
      </c>
      <c r="E143" s="28"/>
      <c r="F143" s="28"/>
      <c r="G143" s="28"/>
      <c r="H143" s="28"/>
      <c r="I143" s="28"/>
      <c r="J143" s="27"/>
      <c r="K143" s="27"/>
    </row>
    <row r="144" spans="1:11" x14ac:dyDescent="0.25">
      <c r="A144" s="2"/>
      <c r="B144" s="2"/>
      <c r="C144" s="2"/>
      <c r="D144" s="2" t="s">
        <v>5</v>
      </c>
      <c r="E144" s="28" t="s">
        <v>153</v>
      </c>
      <c r="F144" s="28"/>
      <c r="G144" s="28"/>
      <c r="H144" s="28"/>
      <c r="I144" s="28"/>
      <c r="J144" s="27"/>
      <c r="K144" s="27"/>
    </row>
    <row r="145" spans="1:11" x14ac:dyDescent="0.25">
      <c r="A145" s="2"/>
      <c r="B145" s="2"/>
      <c r="C145" s="2"/>
      <c r="D145" s="2"/>
      <c r="E145" s="2" t="s">
        <v>18</v>
      </c>
      <c r="F145" s="28" t="s">
        <v>120</v>
      </c>
      <c r="G145" s="28"/>
      <c r="H145" s="2" t="s">
        <v>199</v>
      </c>
      <c r="I145" s="4"/>
      <c r="J145" s="27"/>
      <c r="K145" s="27"/>
    </row>
    <row r="146" spans="1:11" x14ac:dyDescent="0.25">
      <c r="A146" s="2"/>
      <c r="B146" s="2"/>
      <c r="C146" s="2"/>
      <c r="D146" s="2"/>
      <c r="E146" s="2" t="s">
        <v>19</v>
      </c>
      <c r="F146" s="28" t="s">
        <v>121</v>
      </c>
      <c r="G146" s="28"/>
      <c r="H146" s="2" t="s">
        <v>200</v>
      </c>
      <c r="I146" s="4"/>
      <c r="J146" s="27"/>
      <c r="K146" s="27"/>
    </row>
    <row r="147" spans="1:11" x14ac:dyDescent="0.25">
      <c r="A147" s="2"/>
      <c r="B147" s="2"/>
      <c r="C147" s="2"/>
      <c r="D147" s="2"/>
      <c r="E147" s="2" t="s">
        <v>20</v>
      </c>
      <c r="F147" s="28" t="s">
        <v>45</v>
      </c>
      <c r="G147" s="28"/>
      <c r="H147" s="2" t="s">
        <v>201</v>
      </c>
      <c r="I147" s="5">
        <f>SUM(I145:I146)</f>
        <v>0</v>
      </c>
      <c r="J147" s="27"/>
      <c r="K147" s="27"/>
    </row>
    <row r="148" spans="1:11" x14ac:dyDescent="0.25">
      <c r="A148" s="2"/>
      <c r="B148" s="2"/>
      <c r="C148" s="2"/>
      <c r="D148" s="2" t="s">
        <v>7</v>
      </c>
      <c r="E148" s="28" t="s">
        <v>154</v>
      </c>
      <c r="F148" s="28"/>
      <c r="G148" s="28"/>
      <c r="H148" s="2" t="s">
        <v>7</v>
      </c>
      <c r="I148" s="4"/>
      <c r="J148" s="27"/>
      <c r="K148" s="27"/>
    </row>
    <row r="149" spans="1:11" x14ac:dyDescent="0.25">
      <c r="A149" s="2"/>
      <c r="B149" s="2"/>
      <c r="C149" s="2"/>
      <c r="D149" s="2" t="s">
        <v>8</v>
      </c>
      <c r="E149" s="28" t="s">
        <v>155</v>
      </c>
      <c r="F149" s="28"/>
      <c r="G149" s="28"/>
      <c r="H149" s="2" t="s">
        <v>8</v>
      </c>
      <c r="I149" s="4"/>
      <c r="J149" s="27"/>
      <c r="K149" s="27"/>
    </row>
    <row r="150" spans="1:11" x14ac:dyDescent="0.25">
      <c r="A150" s="2"/>
      <c r="B150" s="2"/>
      <c r="C150" s="2"/>
      <c r="D150" s="2" t="s">
        <v>9</v>
      </c>
      <c r="E150" s="28" t="s">
        <v>156</v>
      </c>
      <c r="F150" s="28"/>
      <c r="G150" s="28"/>
      <c r="H150" s="2" t="s">
        <v>9</v>
      </c>
      <c r="I150" s="4"/>
      <c r="J150" s="27"/>
      <c r="K150" s="27"/>
    </row>
    <row r="151" spans="1:11" x14ac:dyDescent="0.25">
      <c r="A151" s="2"/>
      <c r="B151" s="2"/>
      <c r="C151" s="2"/>
      <c r="D151" s="2" t="s">
        <v>15</v>
      </c>
      <c r="E151" s="28" t="s">
        <v>157</v>
      </c>
      <c r="F151" s="28"/>
      <c r="G151" s="28"/>
      <c r="H151" s="2" t="s">
        <v>15</v>
      </c>
      <c r="I151" s="4"/>
      <c r="J151" s="27"/>
      <c r="K151" s="27"/>
    </row>
    <row r="152" spans="1:11" x14ac:dyDescent="0.25">
      <c r="A152" s="2"/>
      <c r="B152" s="2"/>
      <c r="C152" s="2"/>
      <c r="D152" s="2" t="s">
        <v>16</v>
      </c>
      <c r="E152" s="28" t="s">
        <v>158</v>
      </c>
      <c r="F152" s="28"/>
      <c r="G152" s="28"/>
      <c r="H152" s="2" t="s">
        <v>16</v>
      </c>
      <c r="I152" s="4"/>
      <c r="J152" s="27"/>
      <c r="K152" s="27"/>
    </row>
    <row r="153" spans="1:11" x14ac:dyDescent="0.25">
      <c r="A153" s="2"/>
      <c r="B153" s="2"/>
      <c r="C153" s="2"/>
      <c r="D153" s="2" t="s">
        <v>17</v>
      </c>
      <c r="E153" s="28" t="s">
        <v>159</v>
      </c>
      <c r="F153" s="28"/>
      <c r="G153" s="28"/>
      <c r="H153" s="2" t="s">
        <v>17</v>
      </c>
      <c r="I153" s="4"/>
      <c r="J153" s="27"/>
      <c r="K153" s="27"/>
    </row>
    <row r="154" spans="1:11" x14ac:dyDescent="0.25">
      <c r="A154" s="2"/>
      <c r="B154" s="2"/>
      <c r="C154" s="2"/>
      <c r="D154" s="2" t="s">
        <v>21</v>
      </c>
      <c r="E154" s="28" t="s">
        <v>160</v>
      </c>
      <c r="F154" s="28"/>
      <c r="G154" s="28"/>
      <c r="H154" s="28"/>
      <c r="I154" s="28"/>
      <c r="J154" s="2" t="s">
        <v>229</v>
      </c>
      <c r="K154" s="5">
        <f>SUM(I147:I153)</f>
        <v>0</v>
      </c>
    </row>
    <row r="155" spans="1:11" x14ac:dyDescent="0.25">
      <c r="A155" s="2"/>
      <c r="B155" s="2"/>
      <c r="C155" s="2" t="s">
        <v>13</v>
      </c>
      <c r="D155" s="28" t="s">
        <v>161</v>
      </c>
      <c r="E155" s="28"/>
      <c r="F155" s="28"/>
      <c r="G155" s="28"/>
      <c r="H155" s="28"/>
      <c r="I155" s="28"/>
      <c r="J155" s="27"/>
      <c r="K155" s="27"/>
    </row>
    <row r="156" spans="1:11" x14ac:dyDescent="0.25">
      <c r="A156" s="2"/>
      <c r="B156" s="2"/>
      <c r="C156" s="2"/>
      <c r="D156" s="2" t="s">
        <v>5</v>
      </c>
      <c r="E156" s="28" t="s">
        <v>162</v>
      </c>
      <c r="F156" s="28"/>
      <c r="G156" s="28"/>
      <c r="H156" s="2" t="s">
        <v>5</v>
      </c>
      <c r="I156" s="4"/>
      <c r="J156" s="27"/>
      <c r="K156" s="27"/>
    </row>
    <row r="157" spans="1:11" x14ac:dyDescent="0.25">
      <c r="A157" s="2"/>
      <c r="B157" s="2"/>
      <c r="C157" s="2"/>
      <c r="D157" s="2" t="s">
        <v>7</v>
      </c>
      <c r="E157" s="28" t="s">
        <v>163</v>
      </c>
      <c r="F157" s="28"/>
      <c r="G157" s="28"/>
      <c r="H157" s="2" t="s">
        <v>7</v>
      </c>
      <c r="I157" s="4"/>
      <c r="J157" s="27"/>
      <c r="K157" s="27"/>
    </row>
    <row r="158" spans="1:11" x14ac:dyDescent="0.25">
      <c r="A158" s="2"/>
      <c r="B158" s="2"/>
      <c r="C158" s="2"/>
      <c r="D158" s="2" t="s">
        <v>8</v>
      </c>
      <c r="E158" s="28" t="s">
        <v>164</v>
      </c>
      <c r="F158" s="28"/>
      <c r="G158" s="28"/>
      <c r="H158" s="2" t="s">
        <v>8</v>
      </c>
      <c r="I158" s="4"/>
      <c r="J158" s="27"/>
      <c r="K158" s="27"/>
    </row>
    <row r="159" spans="1:11" x14ac:dyDescent="0.25">
      <c r="A159" s="2"/>
      <c r="B159" s="2"/>
      <c r="C159" s="2"/>
      <c r="D159" s="2" t="s">
        <v>9</v>
      </c>
      <c r="E159" s="28" t="s">
        <v>165</v>
      </c>
      <c r="F159" s="28"/>
      <c r="G159" s="28"/>
      <c r="H159" s="2" t="s">
        <v>9</v>
      </c>
      <c r="I159" s="4"/>
      <c r="J159" s="27"/>
      <c r="K159" s="27"/>
    </row>
    <row r="160" spans="1:11" x14ac:dyDescent="0.25">
      <c r="A160" s="2"/>
      <c r="B160" s="2"/>
      <c r="C160" s="2"/>
      <c r="D160" s="2" t="s">
        <v>15</v>
      </c>
      <c r="E160" s="28" t="s">
        <v>166</v>
      </c>
      <c r="F160" s="28"/>
      <c r="G160" s="28"/>
      <c r="H160" s="2" t="s">
        <v>15</v>
      </c>
      <c r="I160" s="4"/>
      <c r="J160" s="27"/>
      <c r="K160" s="27"/>
    </row>
    <row r="161" spans="1:11" x14ac:dyDescent="0.25">
      <c r="A161" s="2"/>
      <c r="B161" s="2"/>
      <c r="C161" s="2"/>
      <c r="D161" s="2" t="s">
        <v>16</v>
      </c>
      <c r="E161" s="28" t="s">
        <v>167</v>
      </c>
      <c r="F161" s="28"/>
      <c r="G161" s="28"/>
      <c r="H161" s="2" t="s">
        <v>16</v>
      </c>
      <c r="I161" s="4"/>
      <c r="J161" s="27"/>
      <c r="K161" s="27"/>
    </row>
    <row r="162" spans="1:11" x14ac:dyDescent="0.25">
      <c r="A162" s="2"/>
      <c r="B162" s="2"/>
      <c r="C162" s="2"/>
      <c r="D162" s="2" t="s">
        <v>17</v>
      </c>
      <c r="E162" s="28" t="s">
        <v>62</v>
      </c>
      <c r="F162" s="28"/>
      <c r="G162" s="28"/>
      <c r="H162" s="2" t="s">
        <v>17</v>
      </c>
      <c r="I162" s="4"/>
      <c r="J162" s="27"/>
      <c r="K162" s="27"/>
    </row>
    <row r="163" spans="1:11" x14ac:dyDescent="0.25">
      <c r="A163" s="2"/>
      <c r="B163" s="2"/>
      <c r="C163" s="2"/>
      <c r="D163" s="2" t="s">
        <v>21</v>
      </c>
      <c r="E163" s="28" t="s">
        <v>168</v>
      </c>
      <c r="F163" s="28"/>
      <c r="G163" s="28"/>
      <c r="H163" s="28"/>
      <c r="I163" s="28"/>
      <c r="J163" s="2" t="s">
        <v>230</v>
      </c>
      <c r="K163" s="5">
        <f>SUM(I156:I162)</f>
        <v>0</v>
      </c>
    </row>
    <row r="164" spans="1:11" x14ac:dyDescent="0.25">
      <c r="A164" s="2"/>
      <c r="B164" s="2"/>
      <c r="C164" s="2" t="s">
        <v>32</v>
      </c>
      <c r="D164" s="28" t="s">
        <v>169</v>
      </c>
      <c r="E164" s="28"/>
      <c r="F164" s="28"/>
      <c r="G164" s="28"/>
      <c r="H164" s="28"/>
      <c r="I164" s="28"/>
      <c r="J164" s="27"/>
      <c r="K164" s="27"/>
    </row>
    <row r="165" spans="1:11" x14ac:dyDescent="0.25">
      <c r="A165" s="2"/>
      <c r="B165" s="2"/>
      <c r="C165" s="2"/>
      <c r="D165" s="2" t="s">
        <v>5</v>
      </c>
      <c r="E165" s="28" t="s">
        <v>170</v>
      </c>
      <c r="F165" s="28"/>
      <c r="G165" s="28"/>
      <c r="H165" s="2" t="s">
        <v>5</v>
      </c>
      <c r="I165" s="4"/>
      <c r="J165" s="27"/>
      <c r="K165" s="27"/>
    </row>
    <row r="166" spans="1:11" x14ac:dyDescent="0.25">
      <c r="A166" s="2"/>
      <c r="B166" s="2"/>
      <c r="C166" s="2"/>
      <c r="D166" s="2" t="s">
        <v>7</v>
      </c>
      <c r="E166" s="28" t="s">
        <v>62</v>
      </c>
      <c r="F166" s="28"/>
      <c r="G166" s="28"/>
      <c r="H166" s="2" t="s">
        <v>7</v>
      </c>
      <c r="I166" s="4"/>
      <c r="J166" s="27"/>
      <c r="K166" s="27"/>
    </row>
    <row r="167" spans="1:11" x14ac:dyDescent="0.25">
      <c r="A167" s="2"/>
      <c r="B167" s="2"/>
      <c r="C167" s="2"/>
      <c r="D167" s="2" t="s">
        <v>8</v>
      </c>
      <c r="E167" s="28" t="s">
        <v>171</v>
      </c>
      <c r="F167" s="28"/>
      <c r="G167" s="28"/>
      <c r="H167" s="28"/>
      <c r="I167" s="28"/>
      <c r="J167" s="2" t="s">
        <v>231</v>
      </c>
      <c r="K167" s="5">
        <f>SUM(I165:I166)</f>
        <v>0</v>
      </c>
    </row>
    <row r="168" spans="1:11" x14ac:dyDescent="0.25">
      <c r="A168" s="2"/>
      <c r="B168" s="2"/>
      <c r="C168" s="2" t="s">
        <v>34</v>
      </c>
      <c r="D168" s="28" t="s">
        <v>172</v>
      </c>
      <c r="E168" s="28"/>
      <c r="F168" s="28"/>
      <c r="G168" s="28"/>
      <c r="H168" s="28"/>
      <c r="I168" s="28"/>
      <c r="J168" s="27"/>
      <c r="K168" s="27"/>
    </row>
    <row r="169" spans="1:11" x14ac:dyDescent="0.25">
      <c r="A169" s="2"/>
      <c r="B169" s="2"/>
      <c r="C169" s="2"/>
      <c r="D169" s="2" t="s">
        <v>5</v>
      </c>
      <c r="E169" s="28" t="s">
        <v>173</v>
      </c>
      <c r="F169" s="28"/>
      <c r="G169" s="28"/>
      <c r="H169" s="2" t="s">
        <v>5</v>
      </c>
      <c r="I169" s="4"/>
      <c r="J169" s="27"/>
      <c r="K169" s="27"/>
    </row>
    <row r="170" spans="1:11" x14ac:dyDescent="0.25">
      <c r="A170" s="2"/>
      <c r="B170" s="2"/>
      <c r="C170" s="2"/>
      <c r="D170" s="2" t="s">
        <v>7</v>
      </c>
      <c r="E170" s="28" t="s">
        <v>174</v>
      </c>
      <c r="F170" s="28"/>
      <c r="G170" s="28"/>
      <c r="H170" s="2" t="s">
        <v>7</v>
      </c>
      <c r="I170" s="4"/>
      <c r="J170" s="27"/>
      <c r="K170" s="27"/>
    </row>
    <row r="171" spans="1:11" x14ac:dyDescent="0.25">
      <c r="A171" s="2"/>
      <c r="B171" s="2"/>
      <c r="C171" s="2"/>
      <c r="D171" s="2" t="s">
        <v>8</v>
      </c>
      <c r="E171" s="28" t="s">
        <v>175</v>
      </c>
      <c r="F171" s="28"/>
      <c r="G171" s="28"/>
      <c r="H171" s="2" t="s">
        <v>8</v>
      </c>
      <c r="I171" s="4"/>
      <c r="J171" s="27"/>
      <c r="K171" s="27"/>
    </row>
    <row r="172" spans="1:11" x14ac:dyDescent="0.25">
      <c r="A172" s="2"/>
      <c r="B172" s="2"/>
      <c r="C172" s="2"/>
      <c r="D172" s="2" t="s">
        <v>9</v>
      </c>
      <c r="E172" s="28" t="s">
        <v>62</v>
      </c>
      <c r="F172" s="28"/>
      <c r="G172" s="28"/>
      <c r="H172" s="2" t="s">
        <v>9</v>
      </c>
      <c r="I172" s="4"/>
      <c r="J172" s="27"/>
      <c r="K172" s="27"/>
    </row>
    <row r="173" spans="1:11" x14ac:dyDescent="0.25">
      <c r="A173" s="2"/>
      <c r="B173" s="2"/>
      <c r="C173" s="2"/>
      <c r="D173" s="2" t="s">
        <v>15</v>
      </c>
      <c r="E173" s="28" t="s">
        <v>176</v>
      </c>
      <c r="F173" s="28"/>
      <c r="G173" s="28"/>
      <c r="H173" s="28"/>
      <c r="I173" s="28"/>
      <c r="J173" s="2" t="s">
        <v>223</v>
      </c>
      <c r="K173" s="5">
        <f>SUM(I169:I172)</f>
        <v>0</v>
      </c>
    </row>
    <row r="174" spans="1:11" x14ac:dyDescent="0.25">
      <c r="A174" s="2"/>
      <c r="B174" s="2"/>
      <c r="C174" s="2" t="s">
        <v>66</v>
      </c>
      <c r="D174" s="28" t="s">
        <v>177</v>
      </c>
      <c r="E174" s="28"/>
      <c r="F174" s="28"/>
      <c r="G174" s="28"/>
      <c r="H174" s="28"/>
      <c r="I174" s="28"/>
      <c r="J174" s="27"/>
      <c r="K174" s="27"/>
    </row>
    <row r="175" spans="1:11" x14ac:dyDescent="0.25">
      <c r="A175" s="2"/>
      <c r="B175" s="2"/>
      <c r="C175" s="2"/>
      <c r="D175" s="2" t="s">
        <v>5</v>
      </c>
      <c r="E175" s="28" t="s">
        <v>134</v>
      </c>
      <c r="F175" s="28"/>
      <c r="G175" s="28"/>
      <c r="H175" s="2" t="s">
        <v>5</v>
      </c>
      <c r="I175" s="4"/>
      <c r="J175" s="27"/>
      <c r="K175" s="27"/>
    </row>
    <row r="176" spans="1:11" x14ac:dyDescent="0.25">
      <c r="A176" s="2"/>
      <c r="B176" s="2"/>
      <c r="C176" s="2"/>
      <c r="D176" s="2" t="s">
        <v>7</v>
      </c>
      <c r="E176" s="28" t="s">
        <v>62</v>
      </c>
      <c r="F176" s="28"/>
      <c r="G176" s="28"/>
      <c r="H176" s="2" t="s">
        <v>7</v>
      </c>
      <c r="I176" s="4"/>
      <c r="J176" s="27"/>
      <c r="K176" s="27"/>
    </row>
    <row r="177" spans="1:11" x14ac:dyDescent="0.25">
      <c r="A177" s="2"/>
      <c r="B177" s="2"/>
      <c r="C177" s="2"/>
      <c r="D177" s="2" t="s">
        <v>8</v>
      </c>
      <c r="E177" s="28" t="s">
        <v>178</v>
      </c>
      <c r="F177" s="28"/>
      <c r="G177" s="28"/>
      <c r="H177" s="28"/>
      <c r="I177" s="28"/>
      <c r="J177" s="2" t="s">
        <v>227</v>
      </c>
      <c r="K177" s="5">
        <f>SUM(I175:I176)</f>
        <v>0</v>
      </c>
    </row>
    <row r="178" spans="1:11" x14ac:dyDescent="0.25">
      <c r="A178" s="2"/>
      <c r="B178" s="2"/>
      <c r="C178" s="2"/>
      <c r="D178" s="2" t="s">
        <v>9</v>
      </c>
      <c r="E178" s="28" t="s">
        <v>179</v>
      </c>
      <c r="F178" s="28"/>
      <c r="G178" s="28"/>
      <c r="H178" s="28"/>
      <c r="I178" s="28"/>
      <c r="J178" s="27"/>
      <c r="K178" s="27"/>
    </row>
    <row r="179" spans="1:11" x14ac:dyDescent="0.25">
      <c r="A179" s="2"/>
      <c r="B179" s="2"/>
      <c r="C179" s="2"/>
      <c r="D179" s="2"/>
      <c r="E179" s="2" t="s">
        <v>18</v>
      </c>
      <c r="F179" s="28" t="s">
        <v>138</v>
      </c>
      <c r="G179" s="28"/>
      <c r="H179" s="2" t="s">
        <v>232</v>
      </c>
      <c r="I179" s="4"/>
      <c r="J179" s="27"/>
      <c r="K179" s="27"/>
    </row>
    <row r="180" spans="1:11" x14ac:dyDescent="0.25">
      <c r="A180" s="2"/>
      <c r="B180" s="2"/>
      <c r="C180" s="2"/>
      <c r="D180" s="2"/>
      <c r="E180" s="2" t="s">
        <v>19</v>
      </c>
      <c r="F180" s="28" t="s">
        <v>139</v>
      </c>
      <c r="G180" s="28"/>
      <c r="H180" s="2" t="s">
        <v>233</v>
      </c>
      <c r="I180" s="4"/>
      <c r="J180" s="27"/>
      <c r="K180" s="27"/>
    </row>
    <row r="181" spans="1:11" x14ac:dyDescent="0.25">
      <c r="A181" s="2"/>
      <c r="B181" s="2"/>
      <c r="C181" s="2"/>
      <c r="D181" s="2"/>
      <c r="E181" s="2" t="s">
        <v>20</v>
      </c>
      <c r="F181" s="30" t="s">
        <v>140</v>
      </c>
      <c r="G181" s="30"/>
      <c r="H181" s="2" t="s">
        <v>234</v>
      </c>
      <c r="I181" s="4"/>
      <c r="J181" s="27"/>
      <c r="K181" s="27"/>
    </row>
    <row r="182" spans="1:11" x14ac:dyDescent="0.25">
      <c r="A182" s="2"/>
      <c r="B182" s="2"/>
      <c r="C182" s="2" t="s">
        <v>149</v>
      </c>
      <c r="D182" s="28" t="s">
        <v>180</v>
      </c>
      <c r="E182" s="28"/>
      <c r="F182" s="28"/>
      <c r="G182" s="28"/>
      <c r="H182" s="28"/>
      <c r="I182" s="28"/>
      <c r="J182" s="2" t="s">
        <v>149</v>
      </c>
      <c r="K182" s="4"/>
    </row>
    <row r="183" spans="1:11" x14ac:dyDescent="0.25">
      <c r="A183" s="2"/>
      <c r="B183" s="2"/>
      <c r="C183" s="2" t="s">
        <v>181</v>
      </c>
      <c r="D183" s="28" t="s">
        <v>182</v>
      </c>
      <c r="E183" s="28"/>
      <c r="F183" s="28"/>
      <c r="G183" s="28"/>
      <c r="H183" s="28"/>
      <c r="I183" s="28"/>
      <c r="J183" s="2" t="s">
        <v>235</v>
      </c>
      <c r="K183" s="5">
        <f>SUM(K154,K163,K167,K173,K177,K182)</f>
        <v>0</v>
      </c>
    </row>
    <row r="184" spans="1:11" x14ac:dyDescent="0.25">
      <c r="A184" s="2"/>
      <c r="B184" s="28" t="s">
        <v>183</v>
      </c>
      <c r="C184" s="28"/>
      <c r="D184" s="28"/>
      <c r="E184" s="28"/>
      <c r="F184" s="28"/>
      <c r="G184" s="28"/>
      <c r="H184" s="28"/>
      <c r="I184" s="28"/>
      <c r="J184" s="2" t="s">
        <v>102</v>
      </c>
      <c r="K184" s="5">
        <f>SUM(K141,K183)</f>
        <v>0</v>
      </c>
    </row>
  </sheetData>
  <mergeCells count="321">
    <mergeCell ref="J178:K178"/>
    <mergeCell ref="J179:K179"/>
    <mergeCell ref="J180:K180"/>
    <mergeCell ref="J181:K181"/>
    <mergeCell ref="J8:K8"/>
    <mergeCell ref="J27:K27"/>
    <mergeCell ref="J28:K28"/>
    <mergeCell ref="J171:K171"/>
    <mergeCell ref="J172:K172"/>
    <mergeCell ref="J174:K174"/>
    <mergeCell ref="J175:K175"/>
    <mergeCell ref="J176:K176"/>
    <mergeCell ref="J165:K165"/>
    <mergeCell ref="J166:K166"/>
    <mergeCell ref="J168:K168"/>
    <mergeCell ref="J169:K169"/>
    <mergeCell ref="J170:K170"/>
    <mergeCell ref="J159:K159"/>
    <mergeCell ref="J160:K160"/>
    <mergeCell ref="J161:K161"/>
    <mergeCell ref="J162:K162"/>
    <mergeCell ref="J164:K164"/>
    <mergeCell ref="J153:K153"/>
    <mergeCell ref="J155:K155"/>
    <mergeCell ref="J156:K156"/>
    <mergeCell ref="J157:K157"/>
    <mergeCell ref="J158:K158"/>
    <mergeCell ref="J148:K148"/>
    <mergeCell ref="J149:K149"/>
    <mergeCell ref="J150:K150"/>
    <mergeCell ref="J151:K151"/>
    <mergeCell ref="J152:K152"/>
    <mergeCell ref="J143:K143"/>
    <mergeCell ref="J144:K144"/>
    <mergeCell ref="J145:K145"/>
    <mergeCell ref="J146:K146"/>
    <mergeCell ref="J147:K147"/>
    <mergeCell ref="J136:K136"/>
    <mergeCell ref="J137:K137"/>
    <mergeCell ref="J138:K138"/>
    <mergeCell ref="J140:K140"/>
    <mergeCell ref="J142:K142"/>
    <mergeCell ref="J131:K131"/>
    <mergeCell ref="J132:K132"/>
    <mergeCell ref="J133:K133"/>
    <mergeCell ref="J134:K134"/>
    <mergeCell ref="J135:K135"/>
    <mergeCell ref="J125:K125"/>
    <mergeCell ref="J126:K126"/>
    <mergeCell ref="J128:K128"/>
    <mergeCell ref="J129:K129"/>
    <mergeCell ref="J130:K130"/>
    <mergeCell ref="J118:K118"/>
    <mergeCell ref="J119:K119"/>
    <mergeCell ref="J122:K122"/>
    <mergeCell ref="J123:K123"/>
    <mergeCell ref="J124:K124"/>
    <mergeCell ref="J113:K113"/>
    <mergeCell ref="J114:K114"/>
    <mergeCell ref="J115:K115"/>
    <mergeCell ref="J116:K116"/>
    <mergeCell ref="J117:K117"/>
    <mergeCell ref="J108:K108"/>
    <mergeCell ref="J109:K109"/>
    <mergeCell ref="J110:K110"/>
    <mergeCell ref="J111:K111"/>
    <mergeCell ref="J112:K112"/>
    <mergeCell ref="J102:K102"/>
    <mergeCell ref="J103:K103"/>
    <mergeCell ref="J104:K104"/>
    <mergeCell ref="J105:K105"/>
    <mergeCell ref="J106:K106"/>
    <mergeCell ref="J97:K97"/>
    <mergeCell ref="J98:K98"/>
    <mergeCell ref="J99:K99"/>
    <mergeCell ref="J100:K100"/>
    <mergeCell ref="J101:K101"/>
    <mergeCell ref="J92:K92"/>
    <mergeCell ref="J93:K93"/>
    <mergeCell ref="J94:K94"/>
    <mergeCell ref="J95:K95"/>
    <mergeCell ref="J96:K96"/>
    <mergeCell ref="J84:K84"/>
    <mergeCell ref="J85:K85"/>
    <mergeCell ref="J86:K86"/>
    <mergeCell ref="J87:K87"/>
    <mergeCell ref="J88:K88"/>
    <mergeCell ref="J78:K78"/>
    <mergeCell ref="J79:K79"/>
    <mergeCell ref="J80:K80"/>
    <mergeCell ref="J81:K81"/>
    <mergeCell ref="J83:K83"/>
    <mergeCell ref="J73:K73"/>
    <mergeCell ref="J74:K74"/>
    <mergeCell ref="J75:K75"/>
    <mergeCell ref="J76:K76"/>
    <mergeCell ref="J77:K77"/>
    <mergeCell ref="J67:K67"/>
    <mergeCell ref="J68:K68"/>
    <mergeCell ref="J69:K69"/>
    <mergeCell ref="J71:K71"/>
    <mergeCell ref="J72:K72"/>
    <mergeCell ref="J56:K56"/>
    <mergeCell ref="J57:K57"/>
    <mergeCell ref="J58:K58"/>
    <mergeCell ref="J59:K59"/>
    <mergeCell ref="J60:K60"/>
    <mergeCell ref="J49:K49"/>
    <mergeCell ref="J50:K50"/>
    <mergeCell ref="J51:K51"/>
    <mergeCell ref="J54:K54"/>
    <mergeCell ref="J55:K55"/>
    <mergeCell ref="J34:K34"/>
    <mergeCell ref="J35:K35"/>
    <mergeCell ref="J45:K45"/>
    <mergeCell ref="J46:K46"/>
    <mergeCell ref="J47:K47"/>
    <mergeCell ref="J26:K26"/>
    <mergeCell ref="J30:K30"/>
    <mergeCell ref="J31:K31"/>
    <mergeCell ref="J32:K32"/>
    <mergeCell ref="J33:K33"/>
    <mergeCell ref="D183:I183"/>
    <mergeCell ref="B184:I184"/>
    <mergeCell ref="J9:K9"/>
    <mergeCell ref="J10:K10"/>
    <mergeCell ref="J11:K11"/>
    <mergeCell ref="J12:K12"/>
    <mergeCell ref="J13:K13"/>
    <mergeCell ref="J14:K14"/>
    <mergeCell ref="J15:K15"/>
    <mergeCell ref="J16:K16"/>
    <mergeCell ref="J20:K20"/>
    <mergeCell ref="J21:K21"/>
    <mergeCell ref="J22:K22"/>
    <mergeCell ref="J24:K24"/>
    <mergeCell ref="J25:K25"/>
    <mergeCell ref="E178:I178"/>
    <mergeCell ref="F179:G179"/>
    <mergeCell ref="F180:G180"/>
    <mergeCell ref="F181:G181"/>
    <mergeCell ref="D182:I182"/>
    <mergeCell ref="E173:I173"/>
    <mergeCell ref="D174:I174"/>
    <mergeCell ref="E175:G175"/>
    <mergeCell ref="E176:G176"/>
    <mergeCell ref="E177:I177"/>
    <mergeCell ref="D168:I168"/>
    <mergeCell ref="E169:G169"/>
    <mergeCell ref="E170:G170"/>
    <mergeCell ref="E171:G171"/>
    <mergeCell ref="E172:G172"/>
    <mergeCell ref="E163:I163"/>
    <mergeCell ref="D164:I164"/>
    <mergeCell ref="E165:G165"/>
    <mergeCell ref="E166:G166"/>
    <mergeCell ref="E167:I167"/>
    <mergeCell ref="E158:G158"/>
    <mergeCell ref="E159:G159"/>
    <mergeCell ref="E160:G160"/>
    <mergeCell ref="E161:G161"/>
    <mergeCell ref="E162:G162"/>
    <mergeCell ref="E153:G153"/>
    <mergeCell ref="E154:I154"/>
    <mergeCell ref="D155:I155"/>
    <mergeCell ref="E156:G156"/>
    <mergeCell ref="E157:G157"/>
    <mergeCell ref="E148:G148"/>
    <mergeCell ref="E149:G149"/>
    <mergeCell ref="E150:G150"/>
    <mergeCell ref="E151:G151"/>
    <mergeCell ref="E152:G152"/>
    <mergeCell ref="D143:I143"/>
    <mergeCell ref="E144:I144"/>
    <mergeCell ref="F145:G145"/>
    <mergeCell ref="F146:G146"/>
    <mergeCell ref="F147:G147"/>
    <mergeCell ref="E138:G138"/>
    <mergeCell ref="E139:I139"/>
    <mergeCell ref="E140:G140"/>
    <mergeCell ref="D141:I141"/>
    <mergeCell ref="C142:I142"/>
    <mergeCell ref="E133:I133"/>
    <mergeCell ref="F134:G134"/>
    <mergeCell ref="F135:G135"/>
    <mergeCell ref="F136:G136"/>
    <mergeCell ref="F137:G137"/>
    <mergeCell ref="E128:I128"/>
    <mergeCell ref="F129:G129"/>
    <mergeCell ref="F130:G130"/>
    <mergeCell ref="F131:G131"/>
    <mergeCell ref="D132:I132"/>
    <mergeCell ref="E123:G123"/>
    <mergeCell ref="E124:G124"/>
    <mergeCell ref="E125:G125"/>
    <mergeCell ref="E126:G126"/>
    <mergeCell ref="E127:I127"/>
    <mergeCell ref="E118:G118"/>
    <mergeCell ref="E119:G119"/>
    <mergeCell ref="E120:I120"/>
    <mergeCell ref="D121:I121"/>
    <mergeCell ref="D122:I122"/>
    <mergeCell ref="F113:G113"/>
    <mergeCell ref="E114:G114"/>
    <mergeCell ref="E115:G115"/>
    <mergeCell ref="E116:G116"/>
    <mergeCell ref="E117:G117"/>
    <mergeCell ref="D108:I108"/>
    <mergeCell ref="E109:G109"/>
    <mergeCell ref="E110:I110"/>
    <mergeCell ref="F111:G111"/>
    <mergeCell ref="F112:G112"/>
    <mergeCell ref="F103:G103"/>
    <mergeCell ref="F104:G104"/>
    <mergeCell ref="E105:G105"/>
    <mergeCell ref="E106:G106"/>
    <mergeCell ref="E107:I107"/>
    <mergeCell ref="F98:G98"/>
    <mergeCell ref="F99:G99"/>
    <mergeCell ref="E100:I100"/>
    <mergeCell ref="F101:G101"/>
    <mergeCell ref="F102:G102"/>
    <mergeCell ref="C93:I93"/>
    <mergeCell ref="D94:I94"/>
    <mergeCell ref="E95:I95"/>
    <mergeCell ref="F96:G96"/>
    <mergeCell ref="F97:G97"/>
    <mergeCell ref="E88:G88"/>
    <mergeCell ref="E89:I89"/>
    <mergeCell ref="D90:I90"/>
    <mergeCell ref="B91:I91"/>
    <mergeCell ref="B92:I92"/>
    <mergeCell ref="D83:I83"/>
    <mergeCell ref="E84:G84"/>
    <mergeCell ref="E85:G85"/>
    <mergeCell ref="E86:G86"/>
    <mergeCell ref="E87:G87"/>
    <mergeCell ref="E78:G78"/>
    <mergeCell ref="E79:G79"/>
    <mergeCell ref="E80:G80"/>
    <mergeCell ref="E81:G81"/>
    <mergeCell ref="E82:I82"/>
    <mergeCell ref="E73:G73"/>
    <mergeCell ref="E74:G74"/>
    <mergeCell ref="E75:G75"/>
    <mergeCell ref="E76:G76"/>
    <mergeCell ref="E77:G77"/>
    <mergeCell ref="F69:G69"/>
    <mergeCell ref="F70:I70"/>
    <mergeCell ref="D71:I71"/>
    <mergeCell ref="E72:G72"/>
    <mergeCell ref="E66:I66"/>
    <mergeCell ref="D67:I67"/>
    <mergeCell ref="F68:G68"/>
    <mergeCell ref="E64:I64"/>
    <mergeCell ref="E65:I65"/>
    <mergeCell ref="F60:G60"/>
    <mergeCell ref="F61:I61"/>
    <mergeCell ref="E62:I62"/>
    <mergeCell ref="E63:I63"/>
    <mergeCell ref="D55:I55"/>
    <mergeCell ref="E56:I56"/>
    <mergeCell ref="F57:G57"/>
    <mergeCell ref="F58:G58"/>
    <mergeCell ref="F59:G59"/>
    <mergeCell ref="E50:G50"/>
    <mergeCell ref="E51:G51"/>
    <mergeCell ref="E52:I52"/>
    <mergeCell ref="D53:I53"/>
    <mergeCell ref="C54:I54"/>
    <mergeCell ref="D45:I45"/>
    <mergeCell ref="E46:G46"/>
    <mergeCell ref="E47:G47"/>
    <mergeCell ref="E48:I48"/>
    <mergeCell ref="D49:I49"/>
    <mergeCell ref="E40:I40"/>
    <mergeCell ref="E41:I41"/>
    <mergeCell ref="E42:I42"/>
    <mergeCell ref="E43:I43"/>
    <mergeCell ref="D44:I44"/>
    <mergeCell ref="F36:I36"/>
    <mergeCell ref="E37:I37"/>
    <mergeCell ref="E38:I38"/>
    <mergeCell ref="E39:I39"/>
    <mergeCell ref="F28:G28"/>
    <mergeCell ref="F29:I29"/>
    <mergeCell ref="E30:I30"/>
    <mergeCell ref="F31:G31"/>
    <mergeCell ref="F32:G32"/>
    <mergeCell ref="D23:I23"/>
    <mergeCell ref="C24:I24"/>
    <mergeCell ref="D25:I25"/>
    <mergeCell ref="E26:I26"/>
    <mergeCell ref="F27:G27"/>
    <mergeCell ref="D18:I18"/>
    <mergeCell ref="D19:I19"/>
    <mergeCell ref="C20:I20"/>
    <mergeCell ref="D21:G21"/>
    <mergeCell ref="D22:G22"/>
    <mergeCell ref="E13:G13"/>
    <mergeCell ref="E14:G14"/>
    <mergeCell ref="E15:G15"/>
    <mergeCell ref="E16:G16"/>
    <mergeCell ref="E17:I17"/>
    <mergeCell ref="D8:I8"/>
    <mergeCell ref="E9:G9"/>
    <mergeCell ref="E10:G10"/>
    <mergeCell ref="E11:G11"/>
    <mergeCell ref="E12:G12"/>
    <mergeCell ref="E5:G5"/>
    <mergeCell ref="E6:G6"/>
    <mergeCell ref="B1:K1"/>
    <mergeCell ref="J2:K2"/>
    <mergeCell ref="J3:K3"/>
    <mergeCell ref="J4:K4"/>
    <mergeCell ref="J5:K5"/>
    <mergeCell ref="J6:K6"/>
    <mergeCell ref="E7:I7"/>
    <mergeCell ref="C2:I2"/>
    <mergeCell ref="D3:I3"/>
    <mergeCell ref="E4:G4"/>
  </mergeCells>
  <hyperlinks>
    <hyperlink ref="I15" location="'Other reserve'!A2" display="'Other reserve'!A2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"/>
    </sheetView>
  </sheetViews>
  <sheetFormatPr defaultRowHeight="15" x14ac:dyDescent="0.25"/>
  <cols>
    <col min="1" max="1" width="53.140625" style="9" customWidth="1"/>
    <col min="2" max="2" width="18" style="10" customWidth="1"/>
  </cols>
  <sheetData>
    <row r="1" spans="1:2" x14ac:dyDescent="0.25">
      <c r="A1" s="6" t="s">
        <v>236</v>
      </c>
      <c r="B1" s="6" t="s">
        <v>237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I2" sqref="I2"/>
    </sheetView>
  </sheetViews>
  <sheetFormatPr defaultRowHeight="15" x14ac:dyDescent="0.25"/>
  <cols>
    <col min="1" max="1" width="5.42578125" style="12" customWidth="1"/>
    <col min="2" max="2" width="6.140625" style="12" customWidth="1"/>
    <col min="3" max="3" width="4.42578125" style="12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12" customWidth="1"/>
    <col min="9" max="9" width="21.42578125" customWidth="1"/>
    <col min="10" max="10" width="6.28515625" style="12" customWidth="1"/>
    <col min="11" max="11" width="20.140625" customWidth="1"/>
  </cols>
  <sheetData>
    <row r="1" spans="1:11" x14ac:dyDescent="0.25">
      <c r="A1" s="14" t="s">
        <v>0</v>
      </c>
      <c r="B1" s="33" t="s">
        <v>238</v>
      </c>
      <c r="C1" s="34"/>
      <c r="D1" s="34"/>
      <c r="E1" s="34"/>
      <c r="F1" s="34"/>
      <c r="G1" s="34"/>
      <c r="H1" s="34"/>
      <c r="I1" s="35"/>
      <c r="J1" s="27"/>
      <c r="K1" s="27"/>
    </row>
    <row r="2" spans="1:11" x14ac:dyDescent="0.25">
      <c r="A2" s="11"/>
      <c r="B2" s="11" t="s">
        <v>3</v>
      </c>
      <c r="C2" s="11" t="s">
        <v>5</v>
      </c>
      <c r="D2" s="28" t="s">
        <v>239</v>
      </c>
      <c r="E2" s="28"/>
      <c r="F2" s="28"/>
      <c r="G2" s="28"/>
      <c r="H2" s="11" t="s">
        <v>5</v>
      </c>
      <c r="I2" s="4"/>
      <c r="J2" s="27"/>
      <c r="K2" s="27"/>
    </row>
    <row r="3" spans="1:11" x14ac:dyDescent="0.25">
      <c r="A3" s="11"/>
      <c r="B3" s="11"/>
      <c r="C3" s="13" t="s">
        <v>7</v>
      </c>
      <c r="D3" s="28" t="s">
        <v>240</v>
      </c>
      <c r="E3" s="28"/>
      <c r="F3" s="28"/>
      <c r="G3" s="28"/>
      <c r="H3" s="11" t="s">
        <v>7</v>
      </c>
      <c r="I3" s="4"/>
      <c r="J3" s="27"/>
      <c r="K3" s="27"/>
    </row>
    <row r="4" spans="1:11" x14ac:dyDescent="0.25">
      <c r="A4" s="11"/>
      <c r="B4" s="11"/>
      <c r="C4" s="11" t="s">
        <v>8</v>
      </c>
      <c r="D4" s="28" t="s">
        <v>241</v>
      </c>
      <c r="E4" s="28"/>
      <c r="F4" s="28"/>
      <c r="G4" s="28"/>
      <c r="H4" s="28"/>
      <c r="I4" s="28"/>
      <c r="J4" s="11" t="s">
        <v>186</v>
      </c>
      <c r="K4" s="5">
        <f>SUM(I2:I3)</f>
        <v>0</v>
      </c>
    </row>
    <row r="5" spans="1:11" x14ac:dyDescent="0.25">
      <c r="A5" s="11"/>
      <c r="B5" s="11" t="s">
        <v>13</v>
      </c>
      <c r="C5" s="31" t="s">
        <v>242</v>
      </c>
      <c r="D5" s="31"/>
      <c r="E5" s="31"/>
      <c r="F5" s="31"/>
      <c r="G5" s="31"/>
      <c r="H5" s="31"/>
      <c r="I5" s="31"/>
      <c r="J5" s="11" t="s">
        <v>13</v>
      </c>
      <c r="K5" s="4"/>
    </row>
    <row r="6" spans="1:11" x14ac:dyDescent="0.25">
      <c r="A6" s="11"/>
      <c r="B6" s="11" t="s">
        <v>32</v>
      </c>
      <c r="C6" s="31" t="s">
        <v>243</v>
      </c>
      <c r="D6" s="31"/>
      <c r="E6" s="31"/>
      <c r="F6" s="31"/>
      <c r="G6" s="31"/>
      <c r="H6" s="31"/>
      <c r="I6" s="31"/>
      <c r="J6" s="11" t="s">
        <v>32</v>
      </c>
      <c r="K6" s="4"/>
    </row>
    <row r="7" spans="1:11" x14ac:dyDescent="0.25">
      <c r="A7" s="11"/>
      <c r="B7" s="11" t="s">
        <v>34</v>
      </c>
      <c r="C7" s="31" t="s">
        <v>244</v>
      </c>
      <c r="D7" s="31"/>
      <c r="E7" s="31"/>
      <c r="F7" s="31"/>
      <c r="G7" s="31"/>
      <c r="H7" s="31"/>
      <c r="I7" s="31"/>
      <c r="J7" s="11" t="s">
        <v>34</v>
      </c>
      <c r="K7" s="5">
        <f>SUM(I8:I10)</f>
        <v>0</v>
      </c>
    </row>
    <row r="8" spans="1:11" x14ac:dyDescent="0.25">
      <c r="A8" s="11"/>
      <c r="B8" s="11"/>
      <c r="C8" s="11" t="s">
        <v>5</v>
      </c>
      <c r="D8" s="28" t="s">
        <v>245</v>
      </c>
      <c r="E8" s="28"/>
      <c r="F8" s="28"/>
      <c r="G8" s="28"/>
      <c r="H8" s="11" t="s">
        <v>5</v>
      </c>
      <c r="I8" s="4"/>
      <c r="J8" s="27"/>
      <c r="K8" s="27"/>
    </row>
    <row r="9" spans="1:11" x14ac:dyDescent="0.25">
      <c r="A9" s="11"/>
      <c r="B9" s="11"/>
      <c r="C9" s="11" t="s">
        <v>7</v>
      </c>
      <c r="D9" s="28" t="s">
        <v>246</v>
      </c>
      <c r="E9" s="28"/>
      <c r="F9" s="28"/>
      <c r="G9" s="28"/>
      <c r="H9" s="11" t="s">
        <v>7</v>
      </c>
      <c r="I9" s="4"/>
      <c r="J9" s="27"/>
      <c r="K9" s="27"/>
    </row>
    <row r="10" spans="1:11" x14ac:dyDescent="0.25">
      <c r="A10" s="11"/>
      <c r="B10" s="11"/>
      <c r="C10" s="11" t="s">
        <v>8</v>
      </c>
      <c r="D10" s="28" t="s">
        <v>247</v>
      </c>
      <c r="E10" s="28"/>
      <c r="F10" s="28"/>
      <c r="G10" s="28"/>
      <c r="H10" s="11" t="s">
        <v>8</v>
      </c>
      <c r="I10" s="4"/>
      <c r="J10" s="27"/>
      <c r="K10" s="27"/>
    </row>
    <row r="11" spans="1:11" x14ac:dyDescent="0.25">
      <c r="A11" s="11"/>
      <c r="B11" s="11" t="s">
        <v>66</v>
      </c>
      <c r="C11" s="31" t="s">
        <v>248</v>
      </c>
      <c r="D11" s="31"/>
      <c r="E11" s="31"/>
      <c r="F11" s="31"/>
      <c r="G11" s="31"/>
      <c r="H11" s="31"/>
      <c r="I11" s="31"/>
      <c r="J11" s="27"/>
      <c r="K11" s="27"/>
    </row>
    <row r="12" spans="1:11" x14ac:dyDescent="0.25">
      <c r="A12" s="11"/>
      <c r="B12" s="11"/>
      <c r="C12" s="11" t="s">
        <v>5</v>
      </c>
      <c r="D12" s="28" t="s">
        <v>249</v>
      </c>
      <c r="E12" s="28"/>
      <c r="F12" s="28"/>
      <c r="G12" s="28"/>
      <c r="H12" s="11" t="s">
        <v>5</v>
      </c>
      <c r="I12" s="4"/>
      <c r="J12" s="27"/>
      <c r="K12" s="27"/>
    </row>
    <row r="13" spans="1:11" x14ac:dyDescent="0.25">
      <c r="A13" s="11"/>
      <c r="B13" s="11"/>
      <c r="C13" s="11" t="s">
        <v>7</v>
      </c>
      <c r="D13" s="28" t="s">
        <v>250</v>
      </c>
      <c r="E13" s="28"/>
      <c r="F13" s="28"/>
      <c r="G13" s="28"/>
      <c r="H13" s="11" t="s">
        <v>7</v>
      </c>
      <c r="I13" s="4"/>
      <c r="J13" s="27"/>
      <c r="K13" s="27"/>
    </row>
    <row r="14" spans="1:11" x14ac:dyDescent="0.25">
      <c r="A14" s="11"/>
      <c r="B14" s="11"/>
      <c r="C14" s="11" t="s">
        <v>8</v>
      </c>
      <c r="D14" s="31" t="s">
        <v>251</v>
      </c>
      <c r="E14" s="31"/>
      <c r="F14" s="31"/>
      <c r="G14" s="31"/>
      <c r="H14" s="11" t="s">
        <v>8</v>
      </c>
      <c r="I14" s="4"/>
      <c r="J14" s="27"/>
      <c r="K14" s="27"/>
    </row>
    <row r="15" spans="1:11" x14ac:dyDescent="0.25">
      <c r="A15" s="11"/>
      <c r="B15" s="11"/>
      <c r="C15" s="11" t="s">
        <v>9</v>
      </c>
      <c r="D15" s="31" t="s">
        <v>252</v>
      </c>
      <c r="E15" s="31"/>
      <c r="F15" s="31"/>
      <c r="G15" s="31"/>
      <c r="H15" s="11" t="s">
        <v>9</v>
      </c>
      <c r="I15" s="4"/>
      <c r="J15" s="27"/>
      <c r="K15" s="27"/>
    </row>
    <row r="16" spans="1:11" x14ac:dyDescent="0.25">
      <c r="A16" s="11"/>
      <c r="B16" s="11"/>
      <c r="C16" s="11" t="s">
        <v>15</v>
      </c>
      <c r="D16" s="31" t="s">
        <v>253</v>
      </c>
      <c r="E16" s="31"/>
      <c r="F16" s="31"/>
      <c r="G16" s="31"/>
      <c r="H16" s="11" t="s">
        <v>15</v>
      </c>
      <c r="I16" s="4"/>
      <c r="J16" s="27"/>
      <c r="K16" s="27"/>
    </row>
    <row r="17" spans="1:12" x14ac:dyDescent="0.25">
      <c r="A17" s="11"/>
      <c r="B17" s="11"/>
      <c r="C17" s="11" t="s">
        <v>16</v>
      </c>
      <c r="D17" s="31" t="s">
        <v>254</v>
      </c>
      <c r="E17" s="31"/>
      <c r="F17" s="31"/>
      <c r="G17" s="31"/>
      <c r="H17" s="11" t="s">
        <v>16</v>
      </c>
      <c r="I17" s="4"/>
      <c r="J17" s="27"/>
      <c r="K17" s="27"/>
      <c r="L17" s="8"/>
    </row>
    <row r="18" spans="1:12" x14ac:dyDescent="0.25">
      <c r="A18" s="11"/>
      <c r="B18" s="11"/>
      <c r="C18" s="28" t="s">
        <v>255</v>
      </c>
      <c r="D18" s="28"/>
      <c r="E18" s="28"/>
      <c r="F18" s="28"/>
      <c r="G18" s="28"/>
      <c r="H18" s="28"/>
      <c r="I18" s="28"/>
      <c r="J18" s="11" t="s">
        <v>256</v>
      </c>
      <c r="K18" s="5">
        <f>SUM(I12:I17)</f>
        <v>0</v>
      </c>
    </row>
    <row r="19" spans="1:12" x14ac:dyDescent="0.25">
      <c r="A19" s="11"/>
      <c r="B19" s="11" t="s">
        <v>149</v>
      </c>
      <c r="C19" s="31" t="s">
        <v>257</v>
      </c>
      <c r="D19" s="31"/>
      <c r="E19" s="31"/>
      <c r="F19" s="31"/>
      <c r="G19" s="31"/>
      <c r="H19" s="31"/>
      <c r="I19" s="31"/>
      <c r="J19" s="11" t="s">
        <v>228</v>
      </c>
      <c r="K19" s="5">
        <f>SUM(K4:K7,K18)</f>
        <v>0</v>
      </c>
    </row>
    <row r="20" spans="1:12" x14ac:dyDescent="0.25">
      <c r="A20" s="11">
        <v>2</v>
      </c>
      <c r="B20" s="31" t="s">
        <v>258</v>
      </c>
      <c r="C20" s="31"/>
      <c r="D20" s="31"/>
      <c r="E20" s="31"/>
      <c r="F20" s="31"/>
      <c r="G20" s="31"/>
      <c r="H20" s="31"/>
      <c r="I20" s="31"/>
      <c r="J20" s="27"/>
      <c r="K20" s="27"/>
    </row>
    <row r="21" spans="1:12" x14ac:dyDescent="0.25">
      <c r="A21" s="11"/>
      <c r="B21" s="11" t="s">
        <v>5</v>
      </c>
      <c r="C21" s="31" t="s">
        <v>259</v>
      </c>
      <c r="D21" s="31"/>
      <c r="E21" s="31"/>
      <c r="F21" s="31"/>
      <c r="G21" s="31"/>
      <c r="H21" s="13" t="s">
        <v>260</v>
      </c>
      <c r="I21" s="4"/>
      <c r="J21" s="27"/>
      <c r="K21" s="27"/>
    </row>
    <row r="22" spans="1:12" x14ac:dyDescent="0.25">
      <c r="A22" s="11"/>
      <c r="B22" s="11" t="s">
        <v>7</v>
      </c>
      <c r="C22" s="31" t="s">
        <v>163</v>
      </c>
      <c r="D22" s="31"/>
      <c r="E22" s="31"/>
      <c r="F22" s="31"/>
      <c r="G22" s="31"/>
      <c r="H22" s="13" t="s">
        <v>261</v>
      </c>
      <c r="I22" s="4"/>
      <c r="J22" s="27"/>
      <c r="K22" s="27"/>
    </row>
    <row r="23" spans="1:12" x14ac:dyDescent="0.25">
      <c r="A23" s="11"/>
      <c r="B23" s="31" t="s">
        <v>262</v>
      </c>
      <c r="C23" s="31"/>
      <c r="D23" s="31"/>
      <c r="E23" s="31"/>
      <c r="F23" s="31"/>
      <c r="G23" s="31"/>
      <c r="H23" s="31"/>
      <c r="I23" s="31"/>
      <c r="J23" s="11">
        <v>2</v>
      </c>
      <c r="K23" s="5">
        <f>SUM(I21:I22)</f>
        <v>0</v>
      </c>
    </row>
    <row r="24" spans="1:12" x14ac:dyDescent="0.25">
      <c r="A24" s="11">
        <v>3</v>
      </c>
      <c r="B24" s="31" t="s">
        <v>263</v>
      </c>
      <c r="C24" s="31"/>
      <c r="D24" s="31"/>
      <c r="E24" s="31"/>
      <c r="F24" s="31"/>
      <c r="G24" s="31"/>
      <c r="H24" s="31"/>
      <c r="I24" s="31"/>
      <c r="J24" s="11">
        <v>3</v>
      </c>
      <c r="K24" s="5">
        <f>K19-K23</f>
        <v>0</v>
      </c>
    </row>
  </sheetData>
  <sheetProtection sheet="1" objects="1" scenarios="1"/>
  <mergeCells count="40">
    <mergeCell ref="B23:I23"/>
    <mergeCell ref="B24:I24"/>
    <mergeCell ref="B1:I1"/>
    <mergeCell ref="J1:K1"/>
    <mergeCell ref="J15:K15"/>
    <mergeCell ref="J16:K16"/>
    <mergeCell ref="J17:K17"/>
    <mergeCell ref="C19:I19"/>
    <mergeCell ref="B20:I20"/>
    <mergeCell ref="D2:G2"/>
    <mergeCell ref="D3:G3"/>
    <mergeCell ref="D4:I4"/>
    <mergeCell ref="C5:I5"/>
    <mergeCell ref="C6:I6"/>
    <mergeCell ref="J22:K22"/>
    <mergeCell ref="C21:G21"/>
    <mergeCell ref="C22:G22"/>
    <mergeCell ref="J21:K21"/>
    <mergeCell ref="C18:I18"/>
    <mergeCell ref="J20:K20"/>
    <mergeCell ref="D17:G17"/>
    <mergeCell ref="D16:G16"/>
    <mergeCell ref="J10:K10"/>
    <mergeCell ref="J11:K11"/>
    <mergeCell ref="J12:K12"/>
    <mergeCell ref="D10:G10"/>
    <mergeCell ref="C11:I11"/>
    <mergeCell ref="D12:G12"/>
    <mergeCell ref="J13:K13"/>
    <mergeCell ref="J14:K14"/>
    <mergeCell ref="D13:G13"/>
    <mergeCell ref="D14:G14"/>
    <mergeCell ref="D15:G15"/>
    <mergeCell ref="J3:K3"/>
    <mergeCell ref="J2:K2"/>
    <mergeCell ref="J8:K8"/>
    <mergeCell ref="J9:K9"/>
    <mergeCell ref="C7:I7"/>
    <mergeCell ref="D8:G8"/>
    <mergeCell ref="D9:G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activeCell="B47" sqref="B47:I47"/>
    </sheetView>
  </sheetViews>
  <sheetFormatPr defaultRowHeight="15" x14ac:dyDescent="0.25"/>
  <cols>
    <col min="1" max="1" width="5.42578125" style="12" customWidth="1"/>
    <col min="2" max="2" width="6.140625" style="12" customWidth="1"/>
    <col min="3" max="3" width="4.42578125" style="12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12" customWidth="1"/>
    <col min="9" max="9" width="21.42578125" customWidth="1"/>
    <col min="10" max="10" width="6.28515625" style="12" customWidth="1"/>
    <col min="11" max="11" width="20.140625" customWidth="1"/>
  </cols>
  <sheetData>
    <row r="1" spans="1:11" x14ac:dyDescent="0.25">
      <c r="A1" s="39" t="s">
        <v>264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14">
        <v>4</v>
      </c>
      <c r="B2" s="33" t="s">
        <v>265</v>
      </c>
      <c r="C2" s="34"/>
      <c r="D2" s="34"/>
      <c r="E2" s="34"/>
      <c r="F2" s="34"/>
      <c r="G2" s="34"/>
      <c r="H2" s="34"/>
      <c r="I2" s="35"/>
      <c r="J2" s="27"/>
      <c r="K2" s="27"/>
    </row>
    <row r="3" spans="1:11" x14ac:dyDescent="0.25">
      <c r="A3" s="14"/>
      <c r="B3" s="15" t="s">
        <v>3</v>
      </c>
      <c r="C3" s="34" t="s">
        <v>266</v>
      </c>
      <c r="D3" s="34"/>
      <c r="E3" s="34"/>
      <c r="F3" s="34"/>
      <c r="G3" s="34"/>
      <c r="H3" s="34"/>
      <c r="I3" s="35"/>
      <c r="J3" s="27"/>
      <c r="K3" s="27"/>
    </row>
    <row r="4" spans="1:11" x14ac:dyDescent="0.25">
      <c r="A4" s="11"/>
      <c r="B4" s="11"/>
      <c r="C4" s="11" t="s">
        <v>5</v>
      </c>
      <c r="D4" s="28" t="s">
        <v>267</v>
      </c>
      <c r="E4" s="28"/>
      <c r="F4" s="28"/>
      <c r="G4" s="28"/>
      <c r="H4" s="11" t="s">
        <v>5</v>
      </c>
      <c r="I4" s="4"/>
      <c r="J4" s="27"/>
      <c r="K4" s="27"/>
    </row>
    <row r="5" spans="1:11" x14ac:dyDescent="0.25">
      <c r="A5" s="11"/>
      <c r="B5" s="11"/>
      <c r="C5" s="13" t="s">
        <v>7</v>
      </c>
      <c r="D5" s="28" t="s">
        <v>268</v>
      </c>
      <c r="E5" s="28"/>
      <c r="F5" s="28"/>
      <c r="G5" s="28"/>
      <c r="H5" s="11" t="s">
        <v>7</v>
      </c>
      <c r="I5" s="4"/>
      <c r="J5" s="27"/>
      <c r="K5" s="27"/>
    </row>
    <row r="6" spans="1:11" x14ac:dyDescent="0.25">
      <c r="A6" s="11"/>
      <c r="B6" s="11"/>
      <c r="C6" s="11" t="s">
        <v>8</v>
      </c>
      <c r="D6" s="33" t="s">
        <v>269</v>
      </c>
      <c r="E6" s="34"/>
      <c r="F6" s="34"/>
      <c r="G6" s="35"/>
      <c r="H6" s="11" t="s">
        <v>8</v>
      </c>
      <c r="I6" s="16">
        <f>SUM('Trading Other Details'!B3:B50)</f>
        <v>0</v>
      </c>
      <c r="J6" s="27"/>
      <c r="K6" s="27"/>
    </row>
    <row r="7" spans="1:11" x14ac:dyDescent="0.25">
      <c r="A7" s="11"/>
      <c r="B7" s="11"/>
      <c r="C7" s="11" t="s">
        <v>9</v>
      </c>
      <c r="D7" s="36" t="s">
        <v>270</v>
      </c>
      <c r="E7" s="37"/>
      <c r="F7" s="37"/>
      <c r="G7" s="37"/>
      <c r="H7" s="37"/>
      <c r="I7" s="38"/>
      <c r="J7" s="11" t="s">
        <v>187</v>
      </c>
      <c r="K7" s="5">
        <f>SUM(I4:I6)</f>
        <v>0</v>
      </c>
    </row>
    <row r="8" spans="1:11" x14ac:dyDescent="0.25">
      <c r="A8" s="11"/>
      <c r="B8" s="11" t="s">
        <v>13</v>
      </c>
      <c r="C8" s="31" t="s">
        <v>271</v>
      </c>
      <c r="D8" s="31"/>
      <c r="E8" s="31"/>
      <c r="F8" s="31"/>
      <c r="G8" s="31"/>
      <c r="H8" s="31"/>
      <c r="I8" s="31"/>
      <c r="J8" s="11" t="s">
        <v>13</v>
      </c>
      <c r="K8" s="4"/>
    </row>
    <row r="9" spans="1:11" x14ac:dyDescent="0.25">
      <c r="A9" s="11"/>
      <c r="B9" s="11" t="s">
        <v>32</v>
      </c>
      <c r="C9" s="31" t="s">
        <v>272</v>
      </c>
      <c r="D9" s="31"/>
      <c r="E9" s="31"/>
      <c r="F9" s="31"/>
      <c r="G9" s="31"/>
      <c r="H9" s="31"/>
      <c r="I9" s="31"/>
      <c r="J9" s="27"/>
      <c r="K9" s="27"/>
    </row>
    <row r="10" spans="1:11" x14ac:dyDescent="0.25">
      <c r="A10" s="11"/>
      <c r="B10" s="11"/>
      <c r="C10" s="11" t="s">
        <v>5</v>
      </c>
      <c r="D10" s="28" t="s">
        <v>273</v>
      </c>
      <c r="E10" s="28"/>
      <c r="F10" s="28"/>
      <c r="G10" s="28"/>
      <c r="H10" s="11" t="s">
        <v>5</v>
      </c>
      <c r="I10" s="4"/>
      <c r="J10" s="27"/>
      <c r="K10" s="27"/>
    </row>
    <row r="11" spans="1:11" x14ac:dyDescent="0.25">
      <c r="A11" s="11"/>
      <c r="B11" s="11"/>
      <c r="C11" s="11" t="s">
        <v>7</v>
      </c>
      <c r="D11" s="28" t="s">
        <v>274</v>
      </c>
      <c r="E11" s="28"/>
      <c r="F11" s="28"/>
      <c r="G11" s="28"/>
      <c r="H11" s="11" t="s">
        <v>7</v>
      </c>
      <c r="I11" s="4"/>
      <c r="J11" s="27"/>
      <c r="K11" s="27"/>
    </row>
    <row r="12" spans="1:11" x14ac:dyDescent="0.25">
      <c r="A12" s="11"/>
      <c r="B12" s="11"/>
      <c r="C12" s="11" t="s">
        <v>8</v>
      </c>
      <c r="D12" s="28" t="s">
        <v>275</v>
      </c>
      <c r="E12" s="28"/>
      <c r="F12" s="28"/>
      <c r="G12" s="28"/>
      <c r="H12" s="11" t="s">
        <v>8</v>
      </c>
      <c r="I12" s="4"/>
      <c r="J12" s="27"/>
      <c r="K12" s="27"/>
    </row>
    <row r="13" spans="1:11" x14ac:dyDescent="0.25">
      <c r="A13" s="11"/>
      <c r="B13" s="11"/>
      <c r="C13" s="11" t="s">
        <v>9</v>
      </c>
      <c r="D13" s="28" t="s">
        <v>276</v>
      </c>
      <c r="E13" s="28"/>
      <c r="F13" s="28"/>
      <c r="G13" s="28"/>
      <c r="H13" s="11" t="s">
        <v>9</v>
      </c>
      <c r="I13" s="4"/>
      <c r="J13" s="27"/>
      <c r="K13" s="27"/>
    </row>
    <row r="14" spans="1:11" x14ac:dyDescent="0.25">
      <c r="A14" s="11"/>
      <c r="B14" s="11"/>
      <c r="C14" s="11" t="s">
        <v>15</v>
      </c>
      <c r="D14" s="28" t="s">
        <v>277</v>
      </c>
      <c r="E14" s="28"/>
      <c r="F14" s="28"/>
      <c r="G14" s="28"/>
      <c r="H14" s="11" t="s">
        <v>15</v>
      </c>
      <c r="I14" s="4"/>
      <c r="J14" s="27"/>
      <c r="K14" s="27"/>
    </row>
    <row r="15" spans="1:11" x14ac:dyDescent="0.25">
      <c r="A15" s="11"/>
      <c r="B15" s="11"/>
      <c r="C15" s="11" t="s">
        <v>16</v>
      </c>
      <c r="D15" s="31" t="s">
        <v>278</v>
      </c>
      <c r="E15" s="31"/>
      <c r="F15" s="31"/>
      <c r="G15" s="31"/>
      <c r="H15" s="11" t="s">
        <v>16</v>
      </c>
      <c r="I15" s="4"/>
      <c r="J15" s="27"/>
      <c r="K15" s="27"/>
    </row>
    <row r="16" spans="1:11" x14ac:dyDescent="0.25">
      <c r="A16" s="11"/>
      <c r="B16" s="11"/>
      <c r="C16" s="11" t="s">
        <v>17</v>
      </c>
      <c r="D16" s="31" t="s">
        <v>279</v>
      </c>
      <c r="E16" s="31"/>
      <c r="F16" s="31"/>
      <c r="G16" s="31"/>
      <c r="H16" s="11" t="s">
        <v>17</v>
      </c>
      <c r="I16" s="4"/>
      <c r="J16" s="27"/>
      <c r="K16" s="27"/>
    </row>
    <row r="17" spans="1:11" x14ac:dyDescent="0.25">
      <c r="A17" s="11"/>
      <c r="B17" s="11"/>
      <c r="C17" s="11" t="s">
        <v>21</v>
      </c>
      <c r="D17" s="31" t="s">
        <v>280</v>
      </c>
      <c r="E17" s="31"/>
      <c r="F17" s="31"/>
      <c r="G17" s="31"/>
      <c r="H17" s="11" t="s">
        <v>21</v>
      </c>
      <c r="I17" s="4"/>
      <c r="J17" s="27"/>
      <c r="K17" s="27"/>
    </row>
    <row r="18" spans="1:11" x14ac:dyDescent="0.25">
      <c r="A18" s="11"/>
      <c r="B18" s="11"/>
      <c r="C18" s="15" t="s">
        <v>22</v>
      </c>
      <c r="D18" s="34" t="s">
        <v>281</v>
      </c>
      <c r="E18" s="34"/>
      <c r="F18" s="34"/>
      <c r="G18" s="34"/>
      <c r="H18" s="34"/>
      <c r="I18" s="35"/>
      <c r="J18" s="11" t="s">
        <v>282</v>
      </c>
      <c r="K18" s="5">
        <f>SUM(I10:I17)</f>
        <v>0</v>
      </c>
    </row>
    <row r="19" spans="1:11" x14ac:dyDescent="0.25">
      <c r="A19" s="11"/>
      <c r="B19" s="11" t="s">
        <v>34</v>
      </c>
      <c r="C19" s="31" t="s">
        <v>283</v>
      </c>
      <c r="D19" s="31"/>
      <c r="E19" s="31"/>
      <c r="F19" s="31"/>
      <c r="G19" s="31"/>
      <c r="H19" s="31"/>
      <c r="I19" s="31"/>
      <c r="J19" s="11" t="s">
        <v>217</v>
      </c>
      <c r="K19" s="5">
        <f>SUM(K7:K8,K18)</f>
        <v>0</v>
      </c>
    </row>
    <row r="20" spans="1:11" x14ac:dyDescent="0.25">
      <c r="A20" s="11">
        <v>5</v>
      </c>
      <c r="B20" s="31" t="s">
        <v>284</v>
      </c>
      <c r="C20" s="31"/>
      <c r="D20" s="31"/>
      <c r="E20" s="31"/>
      <c r="F20" s="31"/>
      <c r="G20" s="31"/>
      <c r="H20" s="31"/>
      <c r="I20" s="31"/>
      <c r="J20" s="11">
        <v>5</v>
      </c>
      <c r="K20" s="4"/>
    </row>
    <row r="21" spans="1:11" x14ac:dyDescent="0.25">
      <c r="A21" s="11">
        <v>6</v>
      </c>
      <c r="B21" s="31" t="s">
        <v>285</v>
      </c>
      <c r="C21" s="31"/>
      <c r="D21" s="31"/>
      <c r="E21" s="31"/>
      <c r="F21" s="31"/>
      <c r="G21" s="31"/>
      <c r="H21" s="31"/>
      <c r="I21" s="31"/>
      <c r="J21" s="11">
        <v>6</v>
      </c>
      <c r="K21" s="5">
        <f>SUM(K19:K20)</f>
        <v>0</v>
      </c>
    </row>
    <row r="22" spans="1:11" x14ac:dyDescent="0.25">
      <c r="A22" s="39" t="s">
        <v>286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spans="1:11" x14ac:dyDescent="0.25">
      <c r="A23" s="11">
        <v>7</v>
      </c>
      <c r="B23" s="31" t="s">
        <v>287</v>
      </c>
      <c r="C23" s="31"/>
      <c r="D23" s="31"/>
      <c r="E23" s="31"/>
      <c r="F23" s="31"/>
      <c r="G23" s="31"/>
      <c r="H23" s="31"/>
      <c r="I23" s="31"/>
      <c r="J23" s="11">
        <v>7</v>
      </c>
      <c r="K23" s="4"/>
    </row>
    <row r="24" spans="1:11" x14ac:dyDescent="0.25">
      <c r="A24" s="11">
        <v>8</v>
      </c>
      <c r="B24" s="31" t="s">
        <v>242</v>
      </c>
      <c r="C24" s="31"/>
      <c r="D24" s="31"/>
      <c r="E24" s="31"/>
      <c r="F24" s="31"/>
      <c r="G24" s="31"/>
      <c r="H24" s="31"/>
      <c r="I24" s="31"/>
      <c r="J24" s="11">
        <v>8</v>
      </c>
      <c r="K24" s="4"/>
    </row>
    <row r="25" spans="1:11" x14ac:dyDescent="0.25">
      <c r="A25" s="11">
        <v>9</v>
      </c>
      <c r="B25" s="36" t="s">
        <v>288</v>
      </c>
      <c r="C25" s="37"/>
      <c r="D25" s="37"/>
      <c r="E25" s="37"/>
      <c r="F25" s="37"/>
      <c r="G25" s="37"/>
      <c r="H25" s="37"/>
      <c r="I25" s="38"/>
      <c r="J25" s="11">
        <v>9</v>
      </c>
      <c r="K25" s="5">
        <f>SUM(I26:I28)</f>
        <v>0</v>
      </c>
    </row>
    <row r="26" spans="1:11" x14ac:dyDescent="0.25">
      <c r="A26" s="11"/>
      <c r="B26" s="11" t="s">
        <v>5</v>
      </c>
      <c r="C26" s="36" t="s">
        <v>245</v>
      </c>
      <c r="D26" s="37"/>
      <c r="E26" s="37"/>
      <c r="F26" s="37"/>
      <c r="G26" s="38"/>
      <c r="H26" s="11" t="s">
        <v>289</v>
      </c>
      <c r="I26" s="4"/>
      <c r="J26" s="27"/>
      <c r="K26" s="27"/>
    </row>
    <row r="27" spans="1:11" x14ac:dyDescent="0.25">
      <c r="A27" s="11"/>
      <c r="B27" s="11" t="s">
        <v>7</v>
      </c>
      <c r="C27" s="36" t="s">
        <v>246</v>
      </c>
      <c r="D27" s="37"/>
      <c r="E27" s="37"/>
      <c r="F27" s="37"/>
      <c r="G27" s="38"/>
      <c r="H27" s="11" t="s">
        <v>290</v>
      </c>
      <c r="I27" s="4"/>
      <c r="J27" s="27"/>
      <c r="K27" s="27"/>
    </row>
    <row r="28" spans="1:11" x14ac:dyDescent="0.25">
      <c r="A28" s="11"/>
      <c r="B28" s="11" t="s">
        <v>8</v>
      </c>
      <c r="C28" s="36" t="s">
        <v>291</v>
      </c>
      <c r="D28" s="37"/>
      <c r="E28" s="37"/>
      <c r="F28" s="37"/>
      <c r="G28" s="38"/>
      <c r="H28" s="11" t="s">
        <v>292</v>
      </c>
      <c r="I28" s="16">
        <f>SUM('Trading Other Details'!E3:E50)</f>
        <v>0</v>
      </c>
      <c r="J28" s="27"/>
      <c r="K28" s="27"/>
    </row>
    <row r="29" spans="1:11" x14ac:dyDescent="0.25">
      <c r="A29" s="11">
        <v>10</v>
      </c>
      <c r="B29" s="36" t="s">
        <v>293</v>
      </c>
      <c r="C29" s="37"/>
      <c r="D29" s="37"/>
      <c r="E29" s="37"/>
      <c r="F29" s="37"/>
      <c r="G29" s="37"/>
      <c r="H29" s="37"/>
      <c r="I29" s="38"/>
      <c r="J29" s="27"/>
      <c r="K29" s="27"/>
    </row>
    <row r="30" spans="1:11" x14ac:dyDescent="0.25">
      <c r="A30" s="11"/>
      <c r="B30" s="11" t="s">
        <v>5</v>
      </c>
      <c r="C30" s="36" t="s">
        <v>306</v>
      </c>
      <c r="D30" s="37"/>
      <c r="E30" s="37"/>
      <c r="F30" s="37"/>
      <c r="G30" s="38"/>
      <c r="H30" s="11" t="s">
        <v>295</v>
      </c>
      <c r="I30" s="4"/>
      <c r="J30" s="27"/>
      <c r="K30" s="27"/>
    </row>
    <row r="31" spans="1:11" x14ac:dyDescent="0.25">
      <c r="A31" s="11"/>
      <c r="B31" s="11" t="s">
        <v>7</v>
      </c>
      <c r="C31" s="36" t="s">
        <v>307</v>
      </c>
      <c r="D31" s="37"/>
      <c r="E31" s="37"/>
      <c r="F31" s="37"/>
      <c r="G31" s="38"/>
      <c r="H31" s="11" t="s">
        <v>296</v>
      </c>
      <c r="I31" s="4"/>
      <c r="J31" s="27"/>
      <c r="K31" s="27"/>
    </row>
    <row r="32" spans="1:11" x14ac:dyDescent="0.25">
      <c r="A32" s="11"/>
      <c r="B32" s="11" t="s">
        <v>8</v>
      </c>
      <c r="C32" s="36" t="s">
        <v>308</v>
      </c>
      <c r="D32" s="37"/>
      <c r="E32" s="37"/>
      <c r="F32" s="37"/>
      <c r="G32" s="38"/>
      <c r="H32" s="11" t="s">
        <v>297</v>
      </c>
      <c r="I32" s="4"/>
      <c r="J32" s="27"/>
      <c r="K32" s="27"/>
    </row>
    <row r="33" spans="1:11" x14ac:dyDescent="0.25">
      <c r="A33" s="11"/>
      <c r="B33" s="11" t="s">
        <v>9</v>
      </c>
      <c r="C33" s="36" t="s">
        <v>309</v>
      </c>
      <c r="D33" s="37"/>
      <c r="E33" s="37"/>
      <c r="F33" s="37"/>
      <c r="G33" s="38"/>
      <c r="H33" s="11" t="s">
        <v>298</v>
      </c>
      <c r="I33" s="4"/>
      <c r="J33" s="27"/>
      <c r="K33" s="27"/>
    </row>
    <row r="34" spans="1:11" x14ac:dyDescent="0.25">
      <c r="A34" s="11"/>
      <c r="B34" s="11" t="s">
        <v>15</v>
      </c>
      <c r="C34" s="36" t="s">
        <v>274</v>
      </c>
      <c r="D34" s="37"/>
      <c r="E34" s="37"/>
      <c r="F34" s="37"/>
      <c r="G34" s="38"/>
      <c r="H34" s="11" t="s">
        <v>299</v>
      </c>
      <c r="I34" s="4"/>
      <c r="J34" s="27"/>
      <c r="K34" s="27"/>
    </row>
    <row r="35" spans="1:11" x14ac:dyDescent="0.25">
      <c r="A35" s="11"/>
      <c r="B35" s="11" t="s">
        <v>16</v>
      </c>
      <c r="C35" s="36" t="s">
        <v>275</v>
      </c>
      <c r="D35" s="37"/>
      <c r="E35" s="37"/>
      <c r="F35" s="37"/>
      <c r="G35" s="38"/>
      <c r="H35" s="11" t="s">
        <v>300</v>
      </c>
      <c r="I35" s="4"/>
      <c r="J35" s="27"/>
      <c r="K35" s="27"/>
    </row>
    <row r="36" spans="1:11" x14ac:dyDescent="0.25">
      <c r="A36" s="11"/>
      <c r="B36" s="11" t="s">
        <v>17</v>
      </c>
      <c r="C36" s="36" t="s">
        <v>276</v>
      </c>
      <c r="D36" s="37"/>
      <c r="E36" s="37"/>
      <c r="F36" s="37"/>
      <c r="G36" s="38"/>
      <c r="H36" s="11" t="s">
        <v>301</v>
      </c>
      <c r="I36" s="4"/>
      <c r="J36" s="27"/>
      <c r="K36" s="27"/>
    </row>
    <row r="37" spans="1:11" x14ac:dyDescent="0.25">
      <c r="A37" s="11"/>
      <c r="B37" s="11" t="s">
        <v>21</v>
      </c>
      <c r="C37" s="36" t="s">
        <v>277</v>
      </c>
      <c r="D37" s="37"/>
      <c r="E37" s="37"/>
      <c r="F37" s="37"/>
      <c r="G37" s="38"/>
      <c r="H37" s="11" t="s">
        <v>302</v>
      </c>
      <c r="I37" s="4"/>
      <c r="J37" s="27"/>
      <c r="K37" s="27"/>
    </row>
    <row r="38" spans="1:11" x14ac:dyDescent="0.25">
      <c r="A38" s="11"/>
      <c r="B38" s="11" t="s">
        <v>22</v>
      </c>
      <c r="C38" s="36" t="s">
        <v>278</v>
      </c>
      <c r="D38" s="37"/>
      <c r="E38" s="37"/>
      <c r="F38" s="37"/>
      <c r="G38" s="38"/>
      <c r="H38" s="11" t="s">
        <v>303</v>
      </c>
      <c r="I38" s="4"/>
      <c r="J38" s="27"/>
      <c r="K38" s="27"/>
    </row>
    <row r="39" spans="1:11" x14ac:dyDescent="0.25">
      <c r="A39" s="11"/>
      <c r="B39" s="11" t="s">
        <v>80</v>
      </c>
      <c r="C39" s="36" t="s">
        <v>279</v>
      </c>
      <c r="D39" s="37"/>
      <c r="E39" s="37"/>
      <c r="F39" s="37"/>
      <c r="G39" s="38"/>
      <c r="H39" s="11" t="s">
        <v>304</v>
      </c>
      <c r="I39" s="4"/>
      <c r="J39" s="27"/>
      <c r="K39" s="27"/>
    </row>
    <row r="40" spans="1:11" x14ac:dyDescent="0.25">
      <c r="A40" s="11"/>
      <c r="B40" s="11" t="s">
        <v>81</v>
      </c>
      <c r="C40" s="36" t="s">
        <v>310</v>
      </c>
      <c r="D40" s="37"/>
      <c r="E40" s="37"/>
      <c r="F40" s="37"/>
      <c r="G40" s="38"/>
      <c r="H40" s="11" t="s">
        <v>305</v>
      </c>
      <c r="I40" s="4"/>
      <c r="J40" s="27"/>
      <c r="K40" s="27"/>
    </row>
    <row r="41" spans="1:11" x14ac:dyDescent="0.25">
      <c r="A41" s="11"/>
      <c r="B41" s="11" t="s">
        <v>294</v>
      </c>
      <c r="C41" s="36" t="s">
        <v>311</v>
      </c>
      <c r="D41" s="37"/>
      <c r="E41" s="37"/>
      <c r="F41" s="37"/>
      <c r="G41" s="37"/>
      <c r="H41" s="37"/>
      <c r="I41" s="38"/>
      <c r="J41" s="11" t="s">
        <v>312</v>
      </c>
      <c r="K41" s="5">
        <f>SUM(I30:I40)</f>
        <v>0</v>
      </c>
    </row>
    <row r="42" spans="1:11" x14ac:dyDescent="0.25">
      <c r="A42" s="11">
        <v>11</v>
      </c>
      <c r="B42" s="31" t="s">
        <v>313</v>
      </c>
      <c r="C42" s="31"/>
      <c r="D42" s="31"/>
      <c r="E42" s="31"/>
      <c r="F42" s="31"/>
      <c r="G42" s="31"/>
      <c r="H42" s="31"/>
      <c r="I42" s="31"/>
      <c r="J42" s="11">
        <v>11</v>
      </c>
      <c r="K42" s="5">
        <f>'Manufacturing Account'!K24</f>
        <v>0</v>
      </c>
    </row>
    <row r="43" spans="1:11" x14ac:dyDescent="0.25">
      <c r="A43" s="11">
        <v>12</v>
      </c>
      <c r="B43" s="40" t="s">
        <v>314</v>
      </c>
      <c r="C43" s="37"/>
      <c r="D43" s="37"/>
      <c r="E43" s="37"/>
      <c r="F43" s="37"/>
      <c r="G43" s="37"/>
      <c r="H43" s="37"/>
      <c r="I43" s="38"/>
      <c r="J43" s="11">
        <v>12</v>
      </c>
      <c r="K43" s="5">
        <f>K21-K23-K24-K25-K41-K42</f>
        <v>0</v>
      </c>
    </row>
    <row r="44" spans="1:11" x14ac:dyDescent="0.25">
      <c r="A44" s="11" t="s">
        <v>315</v>
      </c>
      <c r="B44" s="31" t="s">
        <v>317</v>
      </c>
      <c r="C44" s="31"/>
      <c r="D44" s="31"/>
      <c r="E44" s="31"/>
      <c r="F44" s="31"/>
      <c r="G44" s="31"/>
      <c r="H44" s="31"/>
      <c r="I44" s="31"/>
      <c r="J44" s="11" t="s">
        <v>315</v>
      </c>
      <c r="K44" s="4"/>
    </row>
    <row r="45" spans="1:11" x14ac:dyDescent="0.25">
      <c r="A45" s="11" t="s">
        <v>316</v>
      </c>
      <c r="B45" s="31" t="s">
        <v>318</v>
      </c>
      <c r="C45" s="31"/>
      <c r="D45" s="31"/>
      <c r="E45" s="31"/>
      <c r="F45" s="31"/>
      <c r="G45" s="31"/>
      <c r="H45" s="31"/>
      <c r="I45" s="31"/>
      <c r="J45" s="11" t="s">
        <v>316</v>
      </c>
      <c r="K45" s="4"/>
    </row>
    <row r="46" spans="1:11" x14ac:dyDescent="0.25">
      <c r="A46" s="11" t="s">
        <v>758</v>
      </c>
      <c r="B46" s="31" t="s">
        <v>760</v>
      </c>
      <c r="C46" s="31"/>
      <c r="D46" s="31"/>
      <c r="E46" s="31"/>
      <c r="F46" s="31"/>
      <c r="G46" s="31"/>
      <c r="H46" s="31"/>
      <c r="I46" s="31"/>
      <c r="J46" s="11" t="s">
        <v>315</v>
      </c>
      <c r="K46" s="4"/>
    </row>
    <row r="47" spans="1:11" x14ac:dyDescent="0.25">
      <c r="A47" s="11" t="s">
        <v>759</v>
      </c>
      <c r="B47" s="31" t="s">
        <v>761</v>
      </c>
      <c r="C47" s="31"/>
      <c r="D47" s="31"/>
      <c r="E47" s="31"/>
      <c r="F47" s="31"/>
      <c r="G47" s="31"/>
      <c r="H47" s="31"/>
      <c r="I47" s="31"/>
      <c r="J47" s="11" t="s">
        <v>316</v>
      </c>
      <c r="K47" s="4"/>
    </row>
  </sheetData>
  <sheetProtection sheet="1" objects="1" scenarios="1"/>
  <mergeCells count="76">
    <mergeCell ref="B42:I42"/>
    <mergeCell ref="B43:I43"/>
    <mergeCell ref="B44:I44"/>
    <mergeCell ref="B45:I45"/>
    <mergeCell ref="D6:G6"/>
    <mergeCell ref="C39:G39"/>
    <mergeCell ref="C33:G33"/>
    <mergeCell ref="C30:G30"/>
    <mergeCell ref="C27:G27"/>
    <mergeCell ref="A22:K22"/>
    <mergeCell ref="B24:I24"/>
    <mergeCell ref="B25:I25"/>
    <mergeCell ref="J26:K26"/>
    <mergeCell ref="C26:G26"/>
    <mergeCell ref="B23:I23"/>
    <mergeCell ref="B21:I21"/>
    <mergeCell ref="C41:I41"/>
    <mergeCell ref="C36:G36"/>
    <mergeCell ref="J36:K36"/>
    <mergeCell ref="C37:G37"/>
    <mergeCell ref="J37:K37"/>
    <mergeCell ref="C38:G38"/>
    <mergeCell ref="J38:K38"/>
    <mergeCell ref="C35:G35"/>
    <mergeCell ref="J35:K35"/>
    <mergeCell ref="J39:K39"/>
    <mergeCell ref="C40:G40"/>
    <mergeCell ref="J40:K40"/>
    <mergeCell ref="C32:G32"/>
    <mergeCell ref="J32:K32"/>
    <mergeCell ref="J33:K33"/>
    <mergeCell ref="C34:G34"/>
    <mergeCell ref="J34:K34"/>
    <mergeCell ref="B29:I29"/>
    <mergeCell ref="J29:K29"/>
    <mergeCell ref="J30:K30"/>
    <mergeCell ref="C31:G31"/>
    <mergeCell ref="J31:K31"/>
    <mergeCell ref="J27:K27"/>
    <mergeCell ref="C28:G28"/>
    <mergeCell ref="J28:K28"/>
    <mergeCell ref="J15:K15"/>
    <mergeCell ref="D16:G16"/>
    <mergeCell ref="J16:K16"/>
    <mergeCell ref="A1:K1"/>
    <mergeCell ref="B2:I2"/>
    <mergeCell ref="J2:K2"/>
    <mergeCell ref="J3:K3"/>
    <mergeCell ref="C3:I3"/>
    <mergeCell ref="D4:G4"/>
    <mergeCell ref="J4:K4"/>
    <mergeCell ref="D5:G5"/>
    <mergeCell ref="J5:K5"/>
    <mergeCell ref="J13:K13"/>
    <mergeCell ref="C8:I8"/>
    <mergeCell ref="C9:I9"/>
    <mergeCell ref="D10:G10"/>
    <mergeCell ref="J10:K10"/>
    <mergeCell ref="D11:G11"/>
    <mergeCell ref="D13:G13"/>
    <mergeCell ref="B46:I46"/>
    <mergeCell ref="B47:I47"/>
    <mergeCell ref="J11:K11"/>
    <mergeCell ref="J9:K9"/>
    <mergeCell ref="J6:K6"/>
    <mergeCell ref="D7:I7"/>
    <mergeCell ref="D12:G12"/>
    <mergeCell ref="J12:K12"/>
    <mergeCell ref="B20:I20"/>
    <mergeCell ref="D17:G17"/>
    <mergeCell ref="J17:K17"/>
    <mergeCell ref="C19:I19"/>
    <mergeCell ref="D18:I18"/>
    <mergeCell ref="D14:G14"/>
    <mergeCell ref="J14:K14"/>
    <mergeCell ref="D15:G15"/>
  </mergeCells>
  <hyperlinks>
    <hyperlink ref="I6" location="'Trading Other Details'!A3" display="'Trading Other Details'!A3"/>
    <hyperlink ref="I28" location="'Trading Other Details'!D3" display="'Trading Other Details'!D3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3" sqref="A3"/>
    </sheetView>
  </sheetViews>
  <sheetFormatPr defaultRowHeight="15" x14ac:dyDescent="0.25"/>
  <cols>
    <col min="1" max="1" width="53.140625" style="9" customWidth="1"/>
    <col min="2" max="2" width="18" style="10" customWidth="1"/>
    <col min="4" max="4" width="53.140625" style="9" customWidth="1"/>
    <col min="5" max="5" width="18" style="10" customWidth="1"/>
  </cols>
  <sheetData>
    <row r="1" spans="1:5" x14ac:dyDescent="0.25">
      <c r="A1" s="41" t="s">
        <v>269</v>
      </c>
      <c r="B1" s="41"/>
      <c r="D1" s="41" t="s">
        <v>291</v>
      </c>
      <c r="E1" s="41"/>
    </row>
    <row r="2" spans="1:5" x14ac:dyDescent="0.25">
      <c r="A2" s="6" t="s">
        <v>236</v>
      </c>
      <c r="B2" s="6" t="s">
        <v>237</v>
      </c>
      <c r="D2" s="6" t="s">
        <v>236</v>
      </c>
      <c r="E2" s="6" t="s">
        <v>237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B3" sqref="B3:I3"/>
    </sheetView>
  </sheetViews>
  <sheetFormatPr defaultRowHeight="15" x14ac:dyDescent="0.25"/>
  <cols>
    <col min="1" max="1" width="5.42578125" style="12" customWidth="1"/>
    <col min="2" max="2" width="6.140625" style="12" customWidth="1"/>
    <col min="3" max="3" width="4.42578125" style="12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12" customWidth="1"/>
    <col min="9" max="9" width="21.42578125" customWidth="1"/>
    <col min="10" max="10" width="6.28515625" style="12" customWidth="1"/>
    <col min="11" max="11" width="20.140625" customWidth="1"/>
  </cols>
  <sheetData>
    <row r="1" spans="1:11" x14ac:dyDescent="0.25">
      <c r="A1" s="39" t="s">
        <v>319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11">
        <v>13</v>
      </c>
      <c r="B2" s="31" t="s">
        <v>320</v>
      </c>
      <c r="C2" s="31"/>
      <c r="D2" s="31"/>
      <c r="E2" s="31"/>
      <c r="F2" s="31"/>
      <c r="G2" s="31"/>
      <c r="H2" s="31"/>
      <c r="I2" s="31"/>
      <c r="J2" s="11">
        <v>13</v>
      </c>
      <c r="K2" s="5">
        <f>'Trading Account'!K43+'Trading Account'!K45+'Trading Account'!K47</f>
        <v>0</v>
      </c>
    </row>
    <row r="3" spans="1:11" x14ac:dyDescent="0.25">
      <c r="A3" s="13">
        <v>14</v>
      </c>
      <c r="B3" s="33" t="s">
        <v>321</v>
      </c>
      <c r="C3" s="34"/>
      <c r="D3" s="34"/>
      <c r="E3" s="34"/>
      <c r="F3" s="34"/>
      <c r="G3" s="34"/>
      <c r="H3" s="34"/>
      <c r="I3" s="35"/>
      <c r="J3" s="27"/>
      <c r="K3" s="27"/>
    </row>
    <row r="4" spans="1:11" x14ac:dyDescent="0.25">
      <c r="A4" s="11"/>
      <c r="B4" s="11" t="s">
        <v>5</v>
      </c>
      <c r="C4" s="36" t="s">
        <v>322</v>
      </c>
      <c r="D4" s="37"/>
      <c r="E4" s="37"/>
      <c r="F4" s="37"/>
      <c r="G4" s="38"/>
      <c r="H4" s="11" t="s">
        <v>5</v>
      </c>
      <c r="I4" s="4"/>
      <c r="J4" s="27"/>
      <c r="K4" s="27"/>
    </row>
    <row r="5" spans="1:11" x14ac:dyDescent="0.25">
      <c r="A5" s="11"/>
      <c r="B5" s="11" t="s">
        <v>7</v>
      </c>
      <c r="C5" s="36" t="s">
        <v>323</v>
      </c>
      <c r="D5" s="37"/>
      <c r="E5" s="37"/>
      <c r="F5" s="37"/>
      <c r="G5" s="38"/>
      <c r="H5" s="11" t="s">
        <v>7</v>
      </c>
      <c r="I5" s="4"/>
      <c r="J5" s="27"/>
      <c r="K5" s="27"/>
    </row>
    <row r="6" spans="1:11" x14ac:dyDescent="0.25">
      <c r="A6" s="11"/>
      <c r="B6" s="11" t="s">
        <v>8</v>
      </c>
      <c r="C6" s="36" t="s">
        <v>324</v>
      </c>
      <c r="D6" s="37"/>
      <c r="E6" s="37"/>
      <c r="F6" s="37"/>
      <c r="G6" s="38"/>
      <c r="H6" s="11" t="s">
        <v>8</v>
      </c>
      <c r="I6" s="4"/>
      <c r="J6" s="27"/>
      <c r="K6" s="27"/>
    </row>
    <row r="7" spans="1:11" x14ac:dyDescent="0.25">
      <c r="A7" s="11"/>
      <c r="B7" s="11" t="s">
        <v>9</v>
      </c>
      <c r="C7" s="36" t="s">
        <v>325</v>
      </c>
      <c r="D7" s="37"/>
      <c r="E7" s="37"/>
      <c r="F7" s="37"/>
      <c r="G7" s="38"/>
      <c r="H7" s="11" t="s">
        <v>9</v>
      </c>
      <c r="I7" s="4"/>
      <c r="J7" s="27"/>
      <c r="K7" s="27"/>
    </row>
    <row r="8" spans="1:11" x14ac:dyDescent="0.25">
      <c r="A8" s="11"/>
      <c r="B8" s="11" t="s">
        <v>15</v>
      </c>
      <c r="C8" s="36" t="s">
        <v>326</v>
      </c>
      <c r="D8" s="37"/>
      <c r="E8" s="37"/>
      <c r="F8" s="37"/>
      <c r="G8" s="38"/>
      <c r="H8" s="11" t="s">
        <v>15</v>
      </c>
      <c r="I8" s="4"/>
      <c r="J8" s="27"/>
      <c r="K8" s="27"/>
    </row>
    <row r="9" spans="1:11" x14ac:dyDescent="0.25">
      <c r="A9" s="11"/>
      <c r="B9" s="11" t="s">
        <v>16</v>
      </c>
      <c r="C9" s="36" t="s">
        <v>327</v>
      </c>
      <c r="D9" s="37"/>
      <c r="E9" s="37"/>
      <c r="F9" s="37"/>
      <c r="G9" s="38"/>
      <c r="H9" s="11" t="s">
        <v>16</v>
      </c>
      <c r="I9" s="4"/>
      <c r="J9" s="27"/>
      <c r="K9" s="27"/>
    </row>
    <row r="10" spans="1:11" x14ac:dyDescent="0.25">
      <c r="A10" s="11"/>
      <c r="B10" s="11" t="s">
        <v>17</v>
      </c>
      <c r="C10" s="36" t="s">
        <v>328</v>
      </c>
      <c r="D10" s="37"/>
      <c r="E10" s="37"/>
      <c r="F10" s="37"/>
      <c r="G10" s="38"/>
      <c r="H10" s="11" t="s">
        <v>17</v>
      </c>
      <c r="I10" s="4"/>
      <c r="J10" s="27"/>
      <c r="K10" s="27"/>
    </row>
    <row r="11" spans="1:11" x14ac:dyDescent="0.25">
      <c r="A11" s="11"/>
      <c r="B11" s="11" t="s">
        <v>21</v>
      </c>
      <c r="C11" s="36" t="s">
        <v>329</v>
      </c>
      <c r="D11" s="37"/>
      <c r="E11" s="37"/>
      <c r="F11" s="37"/>
      <c r="G11" s="38"/>
      <c r="H11" s="11" t="s">
        <v>21</v>
      </c>
      <c r="I11" s="4"/>
      <c r="J11" s="27"/>
      <c r="K11" s="27"/>
    </row>
    <row r="12" spans="1:11" x14ac:dyDescent="0.25">
      <c r="A12" s="11"/>
      <c r="B12" s="11" t="s">
        <v>22</v>
      </c>
      <c r="C12" s="40" t="s">
        <v>330</v>
      </c>
      <c r="D12" s="37"/>
      <c r="E12" s="37"/>
      <c r="F12" s="37"/>
      <c r="G12" s="38"/>
      <c r="H12" s="11" t="s">
        <v>22</v>
      </c>
      <c r="I12" s="4"/>
      <c r="J12" s="27"/>
      <c r="K12" s="27"/>
    </row>
    <row r="13" spans="1:11" x14ac:dyDescent="0.25">
      <c r="A13" s="11"/>
      <c r="B13" s="11" t="s">
        <v>80</v>
      </c>
      <c r="C13" s="36" t="s">
        <v>331</v>
      </c>
      <c r="D13" s="37"/>
      <c r="E13" s="37"/>
      <c r="F13" s="37"/>
      <c r="G13" s="38"/>
      <c r="H13" s="11" t="s">
        <v>80</v>
      </c>
      <c r="I13" s="4"/>
      <c r="J13" s="27"/>
      <c r="K13" s="27"/>
    </row>
    <row r="14" spans="1:11" x14ac:dyDescent="0.25">
      <c r="A14" s="11"/>
      <c r="B14" s="11" t="s">
        <v>81</v>
      </c>
      <c r="C14" s="36" t="s">
        <v>332</v>
      </c>
      <c r="D14" s="37"/>
      <c r="E14" s="37"/>
      <c r="F14" s="37"/>
      <c r="G14" s="38"/>
      <c r="H14" s="11" t="s">
        <v>81</v>
      </c>
      <c r="I14" s="16">
        <f>SUM('P&amp;L Other Details'!B3:B50)</f>
        <v>0</v>
      </c>
      <c r="J14" s="27"/>
      <c r="K14" s="27"/>
    </row>
    <row r="15" spans="1:11" x14ac:dyDescent="0.25">
      <c r="A15" s="11"/>
      <c r="B15" s="11" t="s">
        <v>294</v>
      </c>
      <c r="C15" s="36" t="s">
        <v>333</v>
      </c>
      <c r="D15" s="37"/>
      <c r="E15" s="37"/>
      <c r="F15" s="37"/>
      <c r="G15" s="37"/>
      <c r="H15" s="37"/>
      <c r="I15" s="38"/>
      <c r="J15" s="11" t="s">
        <v>334</v>
      </c>
      <c r="K15" s="5">
        <f>SUM(I4:I14)</f>
        <v>0</v>
      </c>
    </row>
    <row r="16" spans="1:11" x14ac:dyDescent="0.25">
      <c r="A16" s="11">
        <v>15</v>
      </c>
      <c r="B16" s="31" t="s">
        <v>335</v>
      </c>
      <c r="C16" s="31"/>
      <c r="D16" s="31"/>
      <c r="E16" s="31"/>
      <c r="F16" s="31"/>
      <c r="G16" s="31"/>
      <c r="H16" s="31"/>
      <c r="I16" s="31"/>
      <c r="J16" s="11">
        <v>15</v>
      </c>
      <c r="K16" s="5">
        <f>SUM(K2,K15)</f>
        <v>0</v>
      </c>
    </row>
    <row r="17" spans="1:11" x14ac:dyDescent="0.25">
      <c r="A17" s="39" t="s">
        <v>336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spans="1:11" x14ac:dyDescent="0.25">
      <c r="A18" s="11">
        <v>16</v>
      </c>
      <c r="B18" s="31" t="s">
        <v>337</v>
      </c>
      <c r="C18" s="31"/>
      <c r="D18" s="31"/>
      <c r="E18" s="31"/>
      <c r="F18" s="31"/>
      <c r="G18" s="31"/>
      <c r="H18" s="31"/>
      <c r="I18" s="31"/>
      <c r="J18" s="11">
        <v>16</v>
      </c>
      <c r="K18" s="4"/>
    </row>
    <row r="19" spans="1:11" x14ac:dyDescent="0.25">
      <c r="A19" s="11">
        <v>17</v>
      </c>
      <c r="B19" s="31" t="s">
        <v>338</v>
      </c>
      <c r="C19" s="31"/>
      <c r="D19" s="31"/>
      <c r="E19" s="31"/>
      <c r="F19" s="31"/>
      <c r="G19" s="31"/>
      <c r="H19" s="31"/>
      <c r="I19" s="31"/>
      <c r="J19" s="11">
        <v>17</v>
      </c>
      <c r="K19" s="4"/>
    </row>
    <row r="20" spans="1:11" x14ac:dyDescent="0.25">
      <c r="A20" s="11">
        <v>18</v>
      </c>
      <c r="B20" s="31" t="s">
        <v>246</v>
      </c>
      <c r="C20" s="31"/>
      <c r="D20" s="31"/>
      <c r="E20" s="31"/>
      <c r="F20" s="31"/>
      <c r="G20" s="31"/>
      <c r="H20" s="31"/>
      <c r="I20" s="31"/>
      <c r="J20" s="11">
        <v>18</v>
      </c>
      <c r="K20" s="4"/>
    </row>
    <row r="21" spans="1:11" x14ac:dyDescent="0.25">
      <c r="A21" s="11">
        <v>19</v>
      </c>
      <c r="B21" s="31" t="s">
        <v>339</v>
      </c>
      <c r="C21" s="31"/>
      <c r="D21" s="31"/>
      <c r="E21" s="31"/>
      <c r="F21" s="31"/>
      <c r="G21" s="31"/>
      <c r="H21" s="31"/>
      <c r="I21" s="31"/>
      <c r="J21" s="11">
        <v>19</v>
      </c>
      <c r="K21" s="4"/>
    </row>
    <row r="22" spans="1:11" x14ac:dyDescent="0.25">
      <c r="A22" s="11">
        <v>20</v>
      </c>
      <c r="B22" s="31" t="s">
        <v>340</v>
      </c>
      <c r="C22" s="31"/>
      <c r="D22" s="31"/>
      <c r="E22" s="31"/>
      <c r="F22" s="31"/>
      <c r="G22" s="31"/>
      <c r="H22" s="31"/>
      <c r="I22" s="31"/>
      <c r="J22" s="11">
        <v>20</v>
      </c>
      <c r="K22" s="4"/>
    </row>
    <row r="23" spans="1:11" x14ac:dyDescent="0.25">
      <c r="A23" s="11">
        <v>21</v>
      </c>
      <c r="B23" s="31" t="s">
        <v>341</v>
      </c>
      <c r="C23" s="31"/>
      <c r="D23" s="31"/>
      <c r="E23" s="31"/>
      <c r="F23" s="31"/>
      <c r="G23" s="31"/>
      <c r="H23" s="31"/>
      <c r="I23" s="31"/>
      <c r="J23" s="11">
        <v>21</v>
      </c>
      <c r="K23" s="4"/>
    </row>
    <row r="24" spans="1:11" x14ac:dyDescent="0.25">
      <c r="A24" s="11">
        <v>22</v>
      </c>
      <c r="B24" s="36" t="s">
        <v>342</v>
      </c>
      <c r="C24" s="37"/>
      <c r="D24" s="37"/>
      <c r="E24" s="37"/>
      <c r="F24" s="37"/>
      <c r="G24" s="37"/>
      <c r="H24" s="37"/>
      <c r="I24" s="38"/>
      <c r="J24" s="27"/>
      <c r="K24" s="27"/>
    </row>
    <row r="25" spans="1:11" x14ac:dyDescent="0.25">
      <c r="A25" s="11"/>
      <c r="B25" s="11" t="s">
        <v>5</v>
      </c>
      <c r="C25" s="36" t="s">
        <v>343</v>
      </c>
      <c r="D25" s="37"/>
      <c r="E25" s="37"/>
      <c r="F25" s="37"/>
      <c r="G25" s="38"/>
      <c r="H25" s="11" t="s">
        <v>346</v>
      </c>
      <c r="I25" s="4"/>
      <c r="J25" s="27"/>
      <c r="K25" s="27"/>
    </row>
    <row r="26" spans="1:11" x14ac:dyDescent="0.25">
      <c r="A26" s="11"/>
      <c r="B26" s="11" t="s">
        <v>7</v>
      </c>
      <c r="C26" s="36" t="s">
        <v>344</v>
      </c>
      <c r="D26" s="37"/>
      <c r="E26" s="37"/>
      <c r="F26" s="37"/>
      <c r="G26" s="38"/>
      <c r="H26" s="11" t="s">
        <v>347</v>
      </c>
      <c r="I26" s="4"/>
      <c r="J26" s="27"/>
      <c r="K26" s="27"/>
    </row>
    <row r="27" spans="1:11" x14ac:dyDescent="0.25">
      <c r="A27" s="11"/>
      <c r="B27" s="11" t="s">
        <v>8</v>
      </c>
      <c r="C27" s="36" t="s">
        <v>345</v>
      </c>
      <c r="D27" s="37"/>
      <c r="E27" s="37"/>
      <c r="F27" s="37"/>
      <c r="G27" s="38"/>
      <c r="H27" s="11" t="s">
        <v>348</v>
      </c>
      <c r="I27" s="4"/>
      <c r="J27" s="27"/>
      <c r="K27" s="27"/>
    </row>
    <row r="28" spans="1:11" x14ac:dyDescent="0.25">
      <c r="A28" s="11"/>
      <c r="B28" s="11" t="s">
        <v>9</v>
      </c>
      <c r="C28" s="36" t="s">
        <v>356</v>
      </c>
      <c r="D28" s="37"/>
      <c r="E28" s="37"/>
      <c r="F28" s="37"/>
      <c r="G28" s="38"/>
      <c r="H28" s="11" t="s">
        <v>349</v>
      </c>
      <c r="I28" s="4"/>
      <c r="J28" s="27"/>
      <c r="K28" s="27"/>
    </row>
    <row r="29" spans="1:11" x14ac:dyDescent="0.25">
      <c r="A29" s="11"/>
      <c r="B29" s="11" t="s">
        <v>15</v>
      </c>
      <c r="C29" s="36" t="s">
        <v>357</v>
      </c>
      <c r="D29" s="37"/>
      <c r="E29" s="37"/>
      <c r="F29" s="37"/>
      <c r="G29" s="38"/>
      <c r="H29" s="11" t="s">
        <v>350</v>
      </c>
      <c r="I29" s="4"/>
      <c r="J29" s="27"/>
      <c r="K29" s="27"/>
    </row>
    <row r="30" spans="1:11" x14ac:dyDescent="0.25">
      <c r="A30" s="11"/>
      <c r="B30" s="11" t="s">
        <v>16</v>
      </c>
      <c r="C30" s="36" t="s">
        <v>358</v>
      </c>
      <c r="D30" s="37"/>
      <c r="E30" s="37"/>
      <c r="F30" s="37"/>
      <c r="G30" s="38"/>
      <c r="H30" s="11" t="s">
        <v>351</v>
      </c>
      <c r="I30" s="4"/>
      <c r="J30" s="27"/>
      <c r="K30" s="27"/>
    </row>
    <row r="31" spans="1:11" x14ac:dyDescent="0.25">
      <c r="A31" s="11"/>
      <c r="B31" s="11" t="s">
        <v>17</v>
      </c>
      <c r="C31" s="36" t="s">
        <v>359</v>
      </c>
      <c r="D31" s="37"/>
      <c r="E31" s="37"/>
      <c r="F31" s="37"/>
      <c r="G31" s="38"/>
      <c r="H31" s="11" t="s">
        <v>352</v>
      </c>
      <c r="I31" s="4"/>
      <c r="J31" s="27"/>
      <c r="K31" s="27"/>
    </row>
    <row r="32" spans="1:11" x14ac:dyDescent="0.25">
      <c r="A32" s="11"/>
      <c r="B32" s="11" t="s">
        <v>21</v>
      </c>
      <c r="C32" s="36" t="s">
        <v>360</v>
      </c>
      <c r="D32" s="37"/>
      <c r="E32" s="37"/>
      <c r="F32" s="37"/>
      <c r="G32" s="38"/>
      <c r="H32" s="11" t="s">
        <v>353</v>
      </c>
      <c r="I32" s="4"/>
      <c r="J32" s="27"/>
      <c r="K32" s="27"/>
    </row>
    <row r="33" spans="1:11" x14ac:dyDescent="0.25">
      <c r="A33" s="11"/>
      <c r="B33" s="11" t="s">
        <v>22</v>
      </c>
      <c r="C33" s="36" t="s">
        <v>361</v>
      </c>
      <c r="D33" s="37"/>
      <c r="E33" s="37"/>
      <c r="F33" s="37"/>
      <c r="G33" s="38"/>
      <c r="H33" s="11" t="s">
        <v>354</v>
      </c>
      <c r="I33" s="4"/>
      <c r="J33" s="27"/>
      <c r="K33" s="27"/>
    </row>
    <row r="34" spans="1:11" x14ac:dyDescent="0.25">
      <c r="A34" s="11"/>
      <c r="B34" s="11" t="s">
        <v>80</v>
      </c>
      <c r="C34" s="36" t="s">
        <v>362</v>
      </c>
      <c r="D34" s="37"/>
      <c r="E34" s="37"/>
      <c r="F34" s="37"/>
      <c r="G34" s="38"/>
      <c r="H34" s="11" t="s">
        <v>355</v>
      </c>
      <c r="I34" s="4"/>
      <c r="J34" s="27"/>
      <c r="K34" s="27"/>
    </row>
    <row r="35" spans="1:11" x14ac:dyDescent="0.25">
      <c r="A35" s="11"/>
      <c r="B35" s="11" t="s">
        <v>81</v>
      </c>
      <c r="C35" s="36" t="s">
        <v>363</v>
      </c>
      <c r="D35" s="37"/>
      <c r="E35" s="37"/>
      <c r="F35" s="37"/>
      <c r="G35" s="37"/>
      <c r="H35" s="37"/>
      <c r="I35" s="38"/>
      <c r="J35" s="11" t="s">
        <v>364</v>
      </c>
      <c r="K35" s="5">
        <f>SUM(I25:I34)</f>
        <v>0</v>
      </c>
    </row>
    <row r="36" spans="1:11" x14ac:dyDescent="0.25">
      <c r="A36" s="11"/>
      <c r="B36" s="11" t="s">
        <v>294</v>
      </c>
      <c r="C36" s="36" t="s">
        <v>365</v>
      </c>
      <c r="D36" s="37"/>
      <c r="E36" s="37"/>
      <c r="F36" s="37"/>
      <c r="G36" s="38"/>
      <c r="H36" s="11" t="s">
        <v>294</v>
      </c>
      <c r="I36" s="4"/>
      <c r="J36" s="27"/>
      <c r="K36" s="27"/>
    </row>
    <row r="37" spans="1:11" x14ac:dyDescent="0.25">
      <c r="A37" s="11">
        <v>23</v>
      </c>
      <c r="B37" s="36" t="s">
        <v>366</v>
      </c>
      <c r="C37" s="37"/>
      <c r="D37" s="37"/>
      <c r="E37" s="37"/>
      <c r="F37" s="37"/>
      <c r="G37" s="37"/>
      <c r="H37" s="37"/>
      <c r="I37" s="38"/>
      <c r="J37" s="27"/>
      <c r="K37" s="27"/>
    </row>
    <row r="38" spans="1:11" x14ac:dyDescent="0.25">
      <c r="A38" s="11"/>
      <c r="B38" s="11" t="s">
        <v>5</v>
      </c>
      <c r="C38" s="36" t="s">
        <v>367</v>
      </c>
      <c r="D38" s="37"/>
      <c r="E38" s="37"/>
      <c r="F38" s="37"/>
      <c r="G38" s="38"/>
      <c r="H38" s="11" t="s">
        <v>372</v>
      </c>
      <c r="I38" s="4"/>
      <c r="J38" s="27"/>
      <c r="K38" s="27"/>
    </row>
    <row r="39" spans="1:11" x14ac:dyDescent="0.25">
      <c r="A39" s="11"/>
      <c r="B39" s="11" t="s">
        <v>7</v>
      </c>
      <c r="C39" s="36" t="s">
        <v>368</v>
      </c>
      <c r="D39" s="37"/>
      <c r="E39" s="37"/>
      <c r="F39" s="37"/>
      <c r="G39" s="38"/>
      <c r="H39" s="11" t="s">
        <v>373</v>
      </c>
      <c r="I39" s="4"/>
      <c r="J39" s="27"/>
      <c r="K39" s="27"/>
    </row>
    <row r="40" spans="1:11" x14ac:dyDescent="0.25">
      <c r="A40" s="11"/>
      <c r="B40" s="11" t="s">
        <v>8</v>
      </c>
      <c r="C40" s="36" t="s">
        <v>369</v>
      </c>
      <c r="D40" s="37"/>
      <c r="E40" s="37"/>
      <c r="F40" s="37"/>
      <c r="G40" s="38"/>
      <c r="H40" s="11" t="s">
        <v>374</v>
      </c>
      <c r="I40" s="4"/>
      <c r="J40" s="27"/>
      <c r="K40" s="27"/>
    </row>
    <row r="41" spans="1:11" x14ac:dyDescent="0.25">
      <c r="A41" s="11"/>
      <c r="B41" s="11" t="s">
        <v>9</v>
      </c>
      <c r="C41" s="36" t="s">
        <v>370</v>
      </c>
      <c r="D41" s="37"/>
      <c r="E41" s="37"/>
      <c r="F41" s="37"/>
      <c r="G41" s="38"/>
      <c r="H41" s="11" t="s">
        <v>375</v>
      </c>
      <c r="I41" s="4"/>
      <c r="J41" s="27"/>
      <c r="K41" s="27"/>
    </row>
    <row r="42" spans="1:11" x14ac:dyDescent="0.25">
      <c r="A42" s="11"/>
      <c r="B42" s="11" t="s">
        <v>15</v>
      </c>
      <c r="C42" s="36" t="s">
        <v>371</v>
      </c>
      <c r="D42" s="37"/>
      <c r="E42" s="37"/>
      <c r="F42" s="37"/>
      <c r="G42" s="37"/>
      <c r="H42" s="37"/>
      <c r="I42" s="38"/>
      <c r="J42" s="11" t="s">
        <v>376</v>
      </c>
      <c r="K42" s="5">
        <f>SUM(I38:I41)</f>
        <v>0</v>
      </c>
    </row>
    <row r="43" spans="1:11" x14ac:dyDescent="0.25">
      <c r="A43" s="11">
        <v>24</v>
      </c>
      <c r="B43" s="31" t="s">
        <v>377</v>
      </c>
      <c r="C43" s="31"/>
      <c r="D43" s="31"/>
      <c r="E43" s="31"/>
      <c r="F43" s="31"/>
      <c r="G43" s="31"/>
      <c r="H43" s="31"/>
      <c r="I43" s="31"/>
      <c r="J43" s="11">
        <v>24</v>
      </c>
      <c r="K43" s="4"/>
    </row>
    <row r="44" spans="1:11" x14ac:dyDescent="0.25">
      <c r="A44" s="11">
        <v>25</v>
      </c>
      <c r="B44" s="31" t="s">
        <v>378</v>
      </c>
      <c r="C44" s="31"/>
      <c r="D44" s="31"/>
      <c r="E44" s="31"/>
      <c r="F44" s="31"/>
      <c r="G44" s="31"/>
      <c r="H44" s="31"/>
      <c r="I44" s="31"/>
      <c r="J44" s="11">
        <v>25</v>
      </c>
      <c r="K44" s="4"/>
    </row>
    <row r="45" spans="1:11" x14ac:dyDescent="0.25">
      <c r="A45" s="11">
        <v>26</v>
      </c>
      <c r="B45" s="31" t="s">
        <v>379</v>
      </c>
      <c r="C45" s="31"/>
      <c r="D45" s="31"/>
      <c r="E45" s="31"/>
      <c r="F45" s="31"/>
      <c r="G45" s="31"/>
      <c r="H45" s="31"/>
      <c r="I45" s="31"/>
      <c r="J45" s="11">
        <v>26</v>
      </c>
      <c r="K45" s="4"/>
    </row>
    <row r="46" spans="1:11" x14ac:dyDescent="0.25">
      <c r="A46" s="11">
        <v>27</v>
      </c>
      <c r="B46" s="31" t="s">
        <v>380</v>
      </c>
      <c r="C46" s="31"/>
      <c r="D46" s="31"/>
      <c r="E46" s="31"/>
      <c r="F46" s="31"/>
      <c r="G46" s="31"/>
      <c r="H46" s="31"/>
      <c r="I46" s="31"/>
      <c r="J46" s="11">
        <v>27</v>
      </c>
      <c r="K46" s="4"/>
    </row>
    <row r="47" spans="1:11" x14ac:dyDescent="0.25">
      <c r="A47" s="11">
        <v>28</v>
      </c>
      <c r="B47" s="31" t="s">
        <v>381</v>
      </c>
      <c r="C47" s="31"/>
      <c r="D47" s="31"/>
      <c r="E47" s="31"/>
      <c r="F47" s="31"/>
      <c r="G47" s="31"/>
      <c r="H47" s="31"/>
      <c r="I47" s="31"/>
      <c r="J47" s="11">
        <v>28</v>
      </c>
      <c r="K47" s="4"/>
    </row>
    <row r="48" spans="1:11" x14ac:dyDescent="0.25">
      <c r="A48" s="11">
        <v>29</v>
      </c>
      <c r="B48" s="31" t="s">
        <v>382</v>
      </c>
      <c r="C48" s="31"/>
      <c r="D48" s="31"/>
      <c r="E48" s="31"/>
      <c r="F48" s="31"/>
      <c r="G48" s="31"/>
      <c r="H48" s="31"/>
      <c r="I48" s="31"/>
      <c r="J48" s="11">
        <v>29</v>
      </c>
      <c r="K48" s="4"/>
    </row>
    <row r="49" spans="1:11" x14ac:dyDescent="0.25">
      <c r="A49" s="11">
        <v>30</v>
      </c>
      <c r="B49" s="36" t="s">
        <v>323</v>
      </c>
      <c r="C49" s="37"/>
      <c r="D49" s="37"/>
      <c r="E49" s="37"/>
      <c r="F49" s="37"/>
      <c r="G49" s="37"/>
      <c r="H49" s="37"/>
      <c r="I49" s="38"/>
      <c r="J49" s="27"/>
      <c r="K49" s="27"/>
    </row>
    <row r="50" spans="1:11" x14ac:dyDescent="0.25">
      <c r="A50" s="11"/>
      <c r="B50" s="11" t="s">
        <v>5</v>
      </c>
      <c r="C50" s="36" t="s">
        <v>384</v>
      </c>
      <c r="D50" s="37"/>
      <c r="E50" s="37"/>
      <c r="F50" s="37"/>
      <c r="G50" s="38"/>
      <c r="H50" s="11" t="s">
        <v>5</v>
      </c>
      <c r="I50" s="4"/>
      <c r="J50" s="27"/>
      <c r="K50" s="27"/>
    </row>
    <row r="51" spans="1:11" x14ac:dyDescent="0.25">
      <c r="A51" s="11"/>
      <c r="B51" s="11" t="s">
        <v>7</v>
      </c>
      <c r="C51" s="36" t="s">
        <v>385</v>
      </c>
      <c r="D51" s="37"/>
      <c r="E51" s="37"/>
      <c r="F51" s="37"/>
      <c r="G51" s="38"/>
      <c r="H51" s="11" t="s">
        <v>7</v>
      </c>
      <c r="I51" s="4"/>
      <c r="J51" s="27"/>
      <c r="K51" s="27"/>
    </row>
    <row r="52" spans="1:11" x14ac:dyDescent="0.25">
      <c r="A52" s="11"/>
      <c r="B52" s="11" t="s">
        <v>8</v>
      </c>
      <c r="C52" s="36" t="s">
        <v>39</v>
      </c>
      <c r="D52" s="37"/>
      <c r="E52" s="37"/>
      <c r="F52" s="37"/>
      <c r="G52" s="37"/>
      <c r="H52" s="37"/>
      <c r="I52" s="38"/>
      <c r="J52" s="11" t="s">
        <v>383</v>
      </c>
      <c r="K52" s="5">
        <f>SUM(I48:I51)</f>
        <v>0</v>
      </c>
    </row>
    <row r="53" spans="1:11" x14ac:dyDescent="0.25">
      <c r="A53" s="11">
        <v>31</v>
      </c>
      <c r="B53" s="36" t="s">
        <v>386</v>
      </c>
      <c r="C53" s="37"/>
      <c r="D53" s="37"/>
      <c r="E53" s="37"/>
      <c r="F53" s="37"/>
      <c r="G53" s="37"/>
      <c r="H53" s="37"/>
      <c r="I53" s="38"/>
      <c r="J53" s="27"/>
      <c r="K53" s="27"/>
    </row>
    <row r="54" spans="1:11" x14ac:dyDescent="0.25">
      <c r="A54" s="11"/>
      <c r="B54" s="11" t="s">
        <v>5</v>
      </c>
      <c r="C54" s="36" t="s">
        <v>384</v>
      </c>
      <c r="D54" s="37"/>
      <c r="E54" s="37"/>
      <c r="F54" s="37"/>
      <c r="G54" s="38"/>
      <c r="H54" s="11" t="s">
        <v>5</v>
      </c>
      <c r="I54" s="4"/>
      <c r="J54" s="27"/>
      <c r="K54" s="27"/>
    </row>
    <row r="55" spans="1:11" x14ac:dyDescent="0.25">
      <c r="A55" s="11"/>
      <c r="B55" s="11" t="s">
        <v>7</v>
      </c>
      <c r="C55" s="36" t="s">
        <v>385</v>
      </c>
      <c r="D55" s="37"/>
      <c r="E55" s="37"/>
      <c r="F55" s="37"/>
      <c r="G55" s="38"/>
      <c r="H55" s="11" t="s">
        <v>7</v>
      </c>
      <c r="I55" s="4"/>
      <c r="J55" s="27"/>
      <c r="K55" s="27"/>
    </row>
    <row r="56" spans="1:11" x14ac:dyDescent="0.25">
      <c r="A56" s="11"/>
      <c r="B56" s="11" t="s">
        <v>8</v>
      </c>
      <c r="C56" s="36" t="s">
        <v>39</v>
      </c>
      <c r="D56" s="37"/>
      <c r="E56" s="37"/>
      <c r="F56" s="37"/>
      <c r="G56" s="37"/>
      <c r="H56" s="37"/>
      <c r="I56" s="38"/>
      <c r="J56" s="11" t="s">
        <v>387</v>
      </c>
      <c r="K56" s="5">
        <f>SUM(I52:I55)</f>
        <v>0</v>
      </c>
    </row>
    <row r="57" spans="1:11" x14ac:dyDescent="0.25">
      <c r="A57" s="11">
        <v>32</v>
      </c>
      <c r="B57" s="36" t="s">
        <v>388</v>
      </c>
      <c r="C57" s="37"/>
      <c r="D57" s="37"/>
      <c r="E57" s="37"/>
      <c r="F57" s="37"/>
      <c r="G57" s="37"/>
      <c r="H57" s="37"/>
      <c r="I57" s="38"/>
      <c r="J57" s="27"/>
      <c r="K57" s="27"/>
    </row>
    <row r="58" spans="1:11" x14ac:dyDescent="0.25">
      <c r="A58" s="11"/>
      <c r="B58" s="11" t="s">
        <v>5</v>
      </c>
      <c r="C58" s="36" t="s">
        <v>384</v>
      </c>
      <c r="D58" s="37"/>
      <c r="E58" s="37"/>
      <c r="F58" s="37"/>
      <c r="G58" s="38"/>
      <c r="H58" s="11" t="s">
        <v>5</v>
      </c>
      <c r="I58" s="4"/>
      <c r="J58" s="27"/>
      <c r="K58" s="27"/>
    </row>
    <row r="59" spans="1:11" x14ac:dyDescent="0.25">
      <c r="A59" s="11"/>
      <c r="B59" s="11" t="s">
        <v>7</v>
      </c>
      <c r="C59" s="36" t="s">
        <v>385</v>
      </c>
      <c r="D59" s="37"/>
      <c r="E59" s="37"/>
      <c r="F59" s="37"/>
      <c r="G59" s="38"/>
      <c r="H59" s="11" t="s">
        <v>7</v>
      </c>
      <c r="I59" s="4"/>
      <c r="J59" s="27"/>
      <c r="K59" s="27"/>
    </row>
    <row r="60" spans="1:11" x14ac:dyDescent="0.25">
      <c r="A60" s="11"/>
      <c r="B60" s="11" t="s">
        <v>8</v>
      </c>
      <c r="C60" s="36" t="s">
        <v>39</v>
      </c>
      <c r="D60" s="37"/>
      <c r="E60" s="37"/>
      <c r="F60" s="37"/>
      <c r="G60" s="37"/>
      <c r="H60" s="37"/>
      <c r="I60" s="38"/>
      <c r="J60" s="11" t="s">
        <v>389</v>
      </c>
      <c r="K60" s="5">
        <f>SUM(I56:I59)</f>
        <v>0</v>
      </c>
    </row>
    <row r="61" spans="1:11" x14ac:dyDescent="0.25">
      <c r="A61" s="11">
        <v>33</v>
      </c>
      <c r="B61" s="31" t="s">
        <v>390</v>
      </c>
      <c r="C61" s="31"/>
      <c r="D61" s="31"/>
      <c r="E61" s="31"/>
      <c r="F61" s="31"/>
      <c r="G61" s="31"/>
      <c r="H61" s="31"/>
      <c r="I61" s="31"/>
      <c r="J61" s="11">
        <v>33</v>
      </c>
      <c r="K61" s="4"/>
    </row>
    <row r="62" spans="1:11" x14ac:dyDescent="0.25">
      <c r="A62" s="11">
        <v>34</v>
      </c>
      <c r="B62" s="31" t="s">
        <v>391</v>
      </c>
      <c r="C62" s="31"/>
      <c r="D62" s="31"/>
      <c r="E62" s="31"/>
      <c r="F62" s="31"/>
      <c r="G62" s="31"/>
      <c r="H62" s="31"/>
      <c r="I62" s="31"/>
      <c r="J62" s="11">
        <v>34</v>
      </c>
      <c r="K62" s="4"/>
    </row>
    <row r="63" spans="1:11" x14ac:dyDescent="0.25">
      <c r="A63" s="11">
        <v>35</v>
      </c>
      <c r="B63" s="31" t="s">
        <v>392</v>
      </c>
      <c r="C63" s="31"/>
      <c r="D63" s="31"/>
      <c r="E63" s="31"/>
      <c r="F63" s="31"/>
      <c r="G63" s="31"/>
      <c r="H63" s="31"/>
      <c r="I63" s="31"/>
      <c r="J63" s="11">
        <v>35</v>
      </c>
      <c r="K63" s="4"/>
    </row>
    <row r="64" spans="1:11" x14ac:dyDescent="0.25">
      <c r="A64" s="11">
        <v>36</v>
      </c>
      <c r="B64" s="31" t="s">
        <v>393</v>
      </c>
      <c r="C64" s="31"/>
      <c r="D64" s="31"/>
      <c r="E64" s="31"/>
      <c r="F64" s="31"/>
      <c r="G64" s="31"/>
      <c r="H64" s="31"/>
      <c r="I64" s="31"/>
      <c r="J64" s="11">
        <v>36</v>
      </c>
      <c r="K64" s="4"/>
    </row>
    <row r="65" spans="1:11" x14ac:dyDescent="0.25">
      <c r="A65" s="11">
        <v>37</v>
      </c>
      <c r="B65" s="31" t="s">
        <v>394</v>
      </c>
      <c r="C65" s="31"/>
      <c r="D65" s="31"/>
      <c r="E65" s="31"/>
      <c r="F65" s="31"/>
      <c r="G65" s="31"/>
      <c r="H65" s="31"/>
      <c r="I65" s="31"/>
      <c r="J65" s="11">
        <v>37</v>
      </c>
      <c r="K65" s="4"/>
    </row>
    <row r="66" spans="1:11" x14ac:dyDescent="0.25">
      <c r="A66" s="11">
        <v>38</v>
      </c>
      <c r="B66" s="31" t="s">
        <v>395</v>
      </c>
      <c r="C66" s="31"/>
      <c r="D66" s="31"/>
      <c r="E66" s="31"/>
      <c r="F66" s="31"/>
      <c r="G66" s="31"/>
      <c r="H66" s="31"/>
      <c r="I66" s="31"/>
      <c r="J66" s="11">
        <v>38</v>
      </c>
      <c r="K66" s="4"/>
    </row>
    <row r="67" spans="1:11" x14ac:dyDescent="0.25">
      <c r="A67" s="11">
        <v>39</v>
      </c>
      <c r="B67" s="31" t="s">
        <v>396</v>
      </c>
      <c r="C67" s="31"/>
      <c r="D67" s="31"/>
      <c r="E67" s="31"/>
      <c r="F67" s="31"/>
      <c r="G67" s="31"/>
      <c r="H67" s="31"/>
      <c r="I67" s="31"/>
      <c r="J67" s="11">
        <v>39</v>
      </c>
      <c r="K67" s="4"/>
    </row>
    <row r="68" spans="1:11" x14ac:dyDescent="0.25">
      <c r="A68" s="11">
        <v>40</v>
      </c>
      <c r="B68" s="31" t="s">
        <v>397</v>
      </c>
      <c r="C68" s="31"/>
      <c r="D68" s="31"/>
      <c r="E68" s="31"/>
      <c r="F68" s="31"/>
      <c r="G68" s="31"/>
      <c r="H68" s="31"/>
      <c r="I68" s="31"/>
      <c r="J68" s="11">
        <v>40</v>
      </c>
      <c r="K68" s="4"/>
    </row>
    <row r="69" spans="1:11" x14ac:dyDescent="0.25">
      <c r="A69" s="11">
        <v>41</v>
      </c>
      <c r="B69" s="31" t="s">
        <v>398</v>
      </c>
      <c r="C69" s="31"/>
      <c r="D69" s="31"/>
      <c r="E69" s="31"/>
      <c r="F69" s="31"/>
      <c r="G69" s="31"/>
      <c r="H69" s="31"/>
      <c r="I69" s="31"/>
      <c r="J69" s="11">
        <v>41</v>
      </c>
      <c r="K69" s="4"/>
    </row>
    <row r="70" spans="1:11" x14ac:dyDescent="0.25">
      <c r="A70" s="11">
        <v>42</v>
      </c>
      <c r="B70" s="31" t="s">
        <v>399</v>
      </c>
      <c r="C70" s="31"/>
      <c r="D70" s="31"/>
      <c r="E70" s="31"/>
      <c r="F70" s="31"/>
      <c r="G70" s="31"/>
      <c r="H70" s="31"/>
      <c r="I70" s="31"/>
      <c r="J70" s="11">
        <v>42</v>
      </c>
      <c r="K70" s="4"/>
    </row>
    <row r="71" spans="1:11" x14ac:dyDescent="0.25">
      <c r="A71" s="11">
        <v>43</v>
      </c>
      <c r="B71" s="31" t="s">
        <v>400</v>
      </c>
      <c r="C71" s="31"/>
      <c r="D71" s="31"/>
      <c r="E71" s="31"/>
      <c r="F71" s="31"/>
      <c r="G71" s="31"/>
      <c r="H71" s="31"/>
      <c r="I71" s="31"/>
      <c r="J71" s="11">
        <v>43</v>
      </c>
      <c r="K71" s="4"/>
    </row>
    <row r="72" spans="1:11" x14ac:dyDescent="0.25">
      <c r="A72" s="11">
        <v>44</v>
      </c>
      <c r="B72" s="36" t="s">
        <v>401</v>
      </c>
      <c r="C72" s="37"/>
      <c r="D72" s="37"/>
      <c r="E72" s="37"/>
      <c r="F72" s="37"/>
      <c r="G72" s="37"/>
      <c r="H72" s="37"/>
      <c r="I72" s="38"/>
      <c r="J72" s="27"/>
      <c r="K72" s="27"/>
    </row>
    <row r="73" spans="1:11" x14ac:dyDescent="0.25">
      <c r="A73" s="11"/>
      <c r="B73" s="11" t="s">
        <v>5</v>
      </c>
      <c r="C73" s="36" t="s">
        <v>309</v>
      </c>
      <c r="D73" s="37"/>
      <c r="E73" s="37"/>
      <c r="F73" s="37"/>
      <c r="G73" s="38"/>
      <c r="H73" s="11" t="s">
        <v>404</v>
      </c>
      <c r="I73" s="4"/>
      <c r="J73" s="27"/>
      <c r="K73" s="27"/>
    </row>
    <row r="74" spans="1:11" x14ac:dyDescent="0.25">
      <c r="A74" s="11"/>
      <c r="B74" s="11" t="s">
        <v>7</v>
      </c>
      <c r="C74" s="36" t="s">
        <v>274</v>
      </c>
      <c r="D74" s="37"/>
      <c r="E74" s="37"/>
      <c r="F74" s="37"/>
      <c r="G74" s="38"/>
      <c r="H74" s="11" t="s">
        <v>405</v>
      </c>
      <c r="I74" s="4"/>
      <c r="J74" s="27"/>
      <c r="K74" s="27"/>
    </row>
    <row r="75" spans="1:11" x14ac:dyDescent="0.25">
      <c r="A75" s="11"/>
      <c r="B75" s="11" t="s">
        <v>8</v>
      </c>
      <c r="C75" s="36" t="s">
        <v>275</v>
      </c>
      <c r="D75" s="37"/>
      <c r="E75" s="37"/>
      <c r="F75" s="37"/>
      <c r="G75" s="38"/>
      <c r="H75" s="11" t="s">
        <v>406</v>
      </c>
      <c r="I75" s="4"/>
      <c r="J75" s="27"/>
      <c r="K75" s="27"/>
    </row>
    <row r="76" spans="1:11" x14ac:dyDescent="0.25">
      <c r="A76" s="11"/>
      <c r="B76" s="11" t="s">
        <v>9</v>
      </c>
      <c r="C76" s="36" t="s">
        <v>402</v>
      </c>
      <c r="D76" s="37"/>
      <c r="E76" s="37"/>
      <c r="F76" s="37"/>
      <c r="G76" s="38"/>
      <c r="H76" s="11" t="s">
        <v>407</v>
      </c>
      <c r="I76" s="4"/>
      <c r="J76" s="27"/>
      <c r="K76" s="27"/>
    </row>
    <row r="77" spans="1:11" x14ac:dyDescent="0.25">
      <c r="A77" s="11"/>
      <c r="B77" s="11" t="s">
        <v>15</v>
      </c>
      <c r="C77" s="36" t="s">
        <v>276</v>
      </c>
      <c r="D77" s="37"/>
      <c r="E77" s="37"/>
      <c r="F77" s="37"/>
      <c r="G77" s="38"/>
      <c r="H77" s="11" t="s">
        <v>408</v>
      </c>
      <c r="I77" s="4"/>
      <c r="J77" s="27"/>
      <c r="K77" s="27"/>
    </row>
    <row r="78" spans="1:11" x14ac:dyDescent="0.25">
      <c r="A78" s="11"/>
      <c r="B78" s="11" t="s">
        <v>16</v>
      </c>
      <c r="C78" s="36" t="s">
        <v>277</v>
      </c>
      <c r="D78" s="37"/>
      <c r="E78" s="37"/>
      <c r="F78" s="37"/>
      <c r="G78" s="38"/>
      <c r="H78" s="11" t="s">
        <v>409</v>
      </c>
      <c r="I78" s="4"/>
      <c r="J78" s="27"/>
      <c r="K78" s="27"/>
    </row>
    <row r="79" spans="1:11" x14ac:dyDescent="0.25">
      <c r="A79" s="11"/>
      <c r="B79" s="11" t="s">
        <v>17</v>
      </c>
      <c r="C79" s="36" t="s">
        <v>278</v>
      </c>
      <c r="D79" s="37"/>
      <c r="E79" s="37"/>
      <c r="F79" s="37"/>
      <c r="G79" s="38"/>
      <c r="H79" s="11" t="s">
        <v>410</v>
      </c>
      <c r="I79" s="4"/>
      <c r="J79" s="27"/>
      <c r="K79" s="27"/>
    </row>
    <row r="80" spans="1:11" x14ac:dyDescent="0.25">
      <c r="A80" s="11"/>
      <c r="B80" s="11" t="s">
        <v>21</v>
      </c>
      <c r="C80" s="36" t="s">
        <v>279</v>
      </c>
      <c r="D80" s="37"/>
      <c r="E80" s="37"/>
      <c r="F80" s="37"/>
      <c r="G80" s="38"/>
      <c r="H80" s="11" t="s">
        <v>411</v>
      </c>
      <c r="I80" s="4"/>
      <c r="J80" s="27"/>
      <c r="K80" s="27"/>
    </row>
    <row r="81" spans="1:11" x14ac:dyDescent="0.25">
      <c r="A81" s="11"/>
      <c r="B81" s="11" t="s">
        <v>22</v>
      </c>
      <c r="C81" s="36" t="s">
        <v>403</v>
      </c>
      <c r="D81" s="37"/>
      <c r="E81" s="37"/>
      <c r="F81" s="37"/>
      <c r="G81" s="38"/>
      <c r="H81" s="11" t="s">
        <v>412</v>
      </c>
      <c r="I81" s="4"/>
      <c r="J81" s="27"/>
      <c r="K81" s="27"/>
    </row>
    <row r="82" spans="1:11" x14ac:dyDescent="0.25">
      <c r="A82" s="11"/>
      <c r="B82" s="11" t="s">
        <v>80</v>
      </c>
      <c r="C82" s="36" t="s">
        <v>413</v>
      </c>
      <c r="D82" s="37"/>
      <c r="E82" s="37"/>
      <c r="F82" s="37"/>
      <c r="G82" s="37"/>
      <c r="H82" s="37"/>
      <c r="I82" s="38"/>
      <c r="J82" s="11" t="s">
        <v>414</v>
      </c>
      <c r="K82" s="5">
        <f>SUM(I73:I81)</f>
        <v>0</v>
      </c>
    </row>
    <row r="83" spans="1:11" x14ac:dyDescent="0.25">
      <c r="A83" s="11">
        <v>45</v>
      </c>
      <c r="B83" s="31" t="s">
        <v>415</v>
      </c>
      <c r="C83" s="31"/>
      <c r="D83" s="31"/>
      <c r="E83" s="31"/>
      <c r="F83" s="31"/>
      <c r="G83" s="31"/>
      <c r="H83" s="31"/>
      <c r="I83" s="31"/>
      <c r="J83" s="11">
        <v>45</v>
      </c>
      <c r="K83" s="4"/>
    </row>
    <row r="84" spans="1:11" x14ac:dyDescent="0.25">
      <c r="A84" s="11">
        <v>46</v>
      </c>
      <c r="B84" s="31" t="s">
        <v>416</v>
      </c>
      <c r="C84" s="31"/>
      <c r="D84" s="31"/>
      <c r="E84" s="31"/>
      <c r="F84" s="31"/>
      <c r="G84" s="31"/>
      <c r="H84" s="31"/>
      <c r="I84" s="31"/>
      <c r="J84" s="11">
        <v>46</v>
      </c>
      <c r="K84" s="16">
        <f>SUM('P&amp;L Other Details'!E3:E50)</f>
        <v>0</v>
      </c>
    </row>
    <row r="85" spans="1:11" x14ac:dyDescent="0.25">
      <c r="A85" s="11">
        <v>47</v>
      </c>
      <c r="B85" s="36" t="s">
        <v>417</v>
      </c>
      <c r="C85" s="37"/>
      <c r="D85" s="37"/>
      <c r="E85" s="37"/>
      <c r="F85" s="37"/>
      <c r="G85" s="37"/>
      <c r="H85" s="37"/>
      <c r="I85" s="38"/>
      <c r="J85" s="27"/>
      <c r="K85" s="27"/>
    </row>
    <row r="86" spans="1:11" x14ac:dyDescent="0.25">
      <c r="A86" s="11"/>
      <c r="B86" s="11" t="s">
        <v>5</v>
      </c>
      <c r="C86" s="36" t="s">
        <v>424</v>
      </c>
      <c r="D86" s="37"/>
      <c r="E86" s="37"/>
      <c r="F86" s="37"/>
      <c r="G86" s="38"/>
      <c r="H86" s="11" t="s">
        <v>420</v>
      </c>
      <c r="I86" s="16">
        <f>SUM('P&amp;L Other Details'!I3:I50)</f>
        <v>0</v>
      </c>
      <c r="J86" s="27"/>
      <c r="K86" s="27"/>
    </row>
    <row r="87" spans="1:11" x14ac:dyDescent="0.25">
      <c r="A87" s="11"/>
      <c r="B87" s="11" t="s">
        <v>7</v>
      </c>
      <c r="C87" s="36" t="s">
        <v>425</v>
      </c>
      <c r="D87" s="37"/>
      <c r="E87" s="37"/>
      <c r="F87" s="37"/>
      <c r="G87" s="38"/>
      <c r="H87" s="11" t="s">
        <v>421</v>
      </c>
      <c r="I87" s="16">
        <f>SUM('P&amp;L Other Details'!T3:T50)</f>
        <v>0</v>
      </c>
      <c r="J87" s="27"/>
      <c r="K87" s="27"/>
    </row>
    <row r="88" spans="1:11" x14ac:dyDescent="0.25">
      <c r="A88" s="11"/>
      <c r="B88" s="11" t="s">
        <v>8</v>
      </c>
      <c r="C88" s="36" t="s">
        <v>423</v>
      </c>
      <c r="D88" s="37"/>
      <c r="E88" s="37"/>
      <c r="F88" s="37"/>
      <c r="G88" s="38"/>
      <c r="H88" s="11" t="s">
        <v>422</v>
      </c>
      <c r="I88" s="16">
        <f>SUM('P&amp;L Other Details'!W3:W50)</f>
        <v>0</v>
      </c>
      <c r="J88" s="27"/>
      <c r="K88" s="27"/>
    </row>
    <row r="89" spans="1:11" x14ac:dyDescent="0.25">
      <c r="A89" s="11"/>
      <c r="B89" s="11" t="s">
        <v>9</v>
      </c>
      <c r="C89" s="36" t="s">
        <v>418</v>
      </c>
      <c r="D89" s="37"/>
      <c r="E89" s="37"/>
      <c r="F89" s="37"/>
      <c r="G89" s="37"/>
      <c r="H89" s="37"/>
      <c r="I89" s="38"/>
      <c r="J89" s="11" t="s">
        <v>419</v>
      </c>
      <c r="K89" s="5">
        <f>SUM(I86:I88)</f>
        <v>0</v>
      </c>
    </row>
    <row r="90" spans="1:11" x14ac:dyDescent="0.25">
      <c r="A90" s="11">
        <v>48</v>
      </c>
      <c r="B90" s="31" t="s">
        <v>426</v>
      </c>
      <c r="C90" s="31"/>
      <c r="D90" s="31"/>
      <c r="E90" s="31"/>
      <c r="F90" s="31"/>
      <c r="G90" s="31"/>
      <c r="H90" s="31"/>
      <c r="I90" s="31"/>
      <c r="J90" s="11">
        <v>48</v>
      </c>
      <c r="K90" s="4"/>
    </row>
    <row r="91" spans="1:11" x14ac:dyDescent="0.25">
      <c r="A91" s="11">
        <v>49</v>
      </c>
      <c r="B91" s="31" t="s">
        <v>427</v>
      </c>
      <c r="C91" s="31"/>
      <c r="D91" s="31"/>
      <c r="E91" s="31"/>
      <c r="F91" s="31"/>
      <c r="G91" s="31"/>
      <c r="H91" s="31"/>
      <c r="I91" s="31"/>
      <c r="J91" s="11">
        <v>49</v>
      </c>
      <c r="K91" s="4"/>
    </row>
    <row r="92" spans="1:11" x14ac:dyDescent="0.25">
      <c r="A92" s="11">
        <v>50</v>
      </c>
      <c r="B92" s="31" t="s">
        <v>428</v>
      </c>
      <c r="C92" s="31"/>
      <c r="D92" s="31"/>
      <c r="E92" s="31"/>
      <c r="F92" s="31"/>
      <c r="G92" s="31"/>
      <c r="H92" s="31"/>
      <c r="I92" s="31"/>
      <c r="J92" s="11">
        <v>50</v>
      </c>
      <c r="K92" s="5">
        <f>K16-SUM(K18:K23,K35,K42:K48,K52,K56,K60:K71,K82:K84,K89:K91)</f>
        <v>0</v>
      </c>
    </row>
    <row r="93" spans="1:11" x14ac:dyDescent="0.25">
      <c r="A93" s="11">
        <v>51</v>
      </c>
      <c r="B93" s="36" t="s">
        <v>430</v>
      </c>
      <c r="C93" s="37"/>
      <c r="D93" s="37"/>
      <c r="E93" s="37"/>
      <c r="F93" s="37"/>
      <c r="G93" s="37"/>
      <c r="H93" s="37"/>
      <c r="I93" s="38"/>
      <c r="J93" s="27"/>
      <c r="K93" s="27"/>
    </row>
    <row r="94" spans="1:11" x14ac:dyDescent="0.25">
      <c r="A94" s="11"/>
      <c r="B94" s="11" t="s">
        <v>5</v>
      </c>
      <c r="C94" s="36" t="s">
        <v>384</v>
      </c>
      <c r="D94" s="37"/>
      <c r="E94" s="37"/>
      <c r="F94" s="37"/>
      <c r="G94" s="38"/>
      <c r="H94" s="11" t="s">
        <v>5</v>
      </c>
      <c r="I94" s="4"/>
      <c r="J94" s="27"/>
      <c r="K94" s="27"/>
    </row>
    <row r="95" spans="1:11" x14ac:dyDescent="0.25">
      <c r="A95" s="11"/>
      <c r="B95" s="11" t="s">
        <v>7</v>
      </c>
      <c r="C95" s="36" t="s">
        <v>385</v>
      </c>
      <c r="D95" s="37"/>
      <c r="E95" s="37"/>
      <c r="F95" s="37"/>
      <c r="G95" s="38"/>
      <c r="H95" s="11" t="s">
        <v>7</v>
      </c>
      <c r="I95" s="4"/>
      <c r="J95" s="27"/>
      <c r="K95" s="27"/>
    </row>
    <row r="96" spans="1:11" x14ac:dyDescent="0.25">
      <c r="A96" s="11"/>
      <c r="B96" s="11" t="s">
        <v>8</v>
      </c>
      <c r="C96" s="36" t="s">
        <v>39</v>
      </c>
      <c r="D96" s="37"/>
      <c r="E96" s="37"/>
      <c r="F96" s="37"/>
      <c r="G96" s="37"/>
      <c r="H96" s="37"/>
      <c r="I96" s="38"/>
      <c r="J96" s="11" t="s">
        <v>429</v>
      </c>
      <c r="K96" s="5">
        <f>SUM(I92:I95)</f>
        <v>0</v>
      </c>
    </row>
    <row r="97" spans="1:11" x14ac:dyDescent="0.25">
      <c r="A97" s="11">
        <v>52</v>
      </c>
      <c r="B97" s="31" t="s">
        <v>431</v>
      </c>
      <c r="C97" s="31"/>
      <c r="D97" s="31"/>
      <c r="E97" s="31"/>
      <c r="F97" s="31"/>
      <c r="G97" s="31"/>
      <c r="H97" s="31"/>
      <c r="I97" s="31"/>
      <c r="J97" s="11">
        <v>52</v>
      </c>
      <c r="K97" s="4"/>
    </row>
    <row r="98" spans="1:11" x14ac:dyDescent="0.25">
      <c r="A98" s="11">
        <v>53</v>
      </c>
      <c r="B98" s="31" t="s">
        <v>432</v>
      </c>
      <c r="C98" s="31"/>
      <c r="D98" s="31"/>
      <c r="E98" s="31"/>
      <c r="F98" s="31"/>
      <c r="G98" s="31"/>
      <c r="H98" s="31"/>
      <c r="I98" s="31"/>
      <c r="J98" s="11">
        <v>53</v>
      </c>
      <c r="K98" s="5">
        <f>K92-K96-K97</f>
        <v>0</v>
      </c>
    </row>
    <row r="99" spans="1:11" x14ac:dyDescent="0.25">
      <c r="A99" s="39" t="s">
        <v>433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1" x14ac:dyDescent="0.25">
      <c r="A100" s="11">
        <v>54</v>
      </c>
      <c r="B100" s="31" t="s">
        <v>434</v>
      </c>
      <c r="C100" s="31"/>
      <c r="D100" s="31"/>
      <c r="E100" s="31"/>
      <c r="F100" s="31"/>
      <c r="G100" s="31"/>
      <c r="H100" s="31"/>
      <c r="I100" s="31"/>
      <c r="J100" s="11">
        <v>54</v>
      </c>
      <c r="K100" s="4"/>
    </row>
    <row r="101" spans="1:11" x14ac:dyDescent="0.25">
      <c r="A101" s="11">
        <v>55</v>
      </c>
      <c r="B101" s="31" t="s">
        <v>435</v>
      </c>
      <c r="C101" s="31"/>
      <c r="D101" s="31"/>
      <c r="E101" s="31"/>
      <c r="F101" s="31"/>
      <c r="G101" s="31"/>
      <c r="H101" s="31"/>
      <c r="I101" s="31"/>
      <c r="J101" s="11">
        <v>55</v>
      </c>
      <c r="K101" s="4"/>
    </row>
    <row r="102" spans="1:11" x14ac:dyDescent="0.25">
      <c r="A102" s="11">
        <v>56</v>
      </c>
      <c r="B102" s="31" t="s">
        <v>436</v>
      </c>
      <c r="C102" s="31"/>
      <c r="D102" s="31"/>
      <c r="E102" s="31"/>
      <c r="F102" s="31"/>
      <c r="G102" s="31"/>
      <c r="H102" s="31"/>
      <c r="I102" s="31"/>
      <c r="J102" s="11">
        <v>56</v>
      </c>
      <c r="K102" s="5">
        <f>K98-K100-K101</f>
        <v>0</v>
      </c>
    </row>
    <row r="103" spans="1:11" x14ac:dyDescent="0.25">
      <c r="A103" s="11">
        <v>57</v>
      </c>
      <c r="B103" s="31" t="s">
        <v>437</v>
      </c>
      <c r="C103" s="31"/>
      <c r="D103" s="31"/>
      <c r="E103" s="31"/>
      <c r="F103" s="31"/>
      <c r="G103" s="31"/>
      <c r="H103" s="31"/>
      <c r="I103" s="31"/>
      <c r="J103" s="11">
        <v>57</v>
      </c>
      <c r="K103" s="4"/>
    </row>
    <row r="104" spans="1:11" x14ac:dyDescent="0.25">
      <c r="A104" s="11">
        <v>58</v>
      </c>
      <c r="B104" s="31" t="s">
        <v>438</v>
      </c>
      <c r="C104" s="31"/>
      <c r="D104" s="31"/>
      <c r="E104" s="31"/>
      <c r="F104" s="31"/>
      <c r="G104" s="31"/>
      <c r="H104" s="31"/>
      <c r="I104" s="31"/>
      <c r="J104" s="11">
        <v>58</v>
      </c>
      <c r="K104" s="5">
        <f>K102+K103</f>
        <v>0</v>
      </c>
    </row>
    <row r="105" spans="1:11" x14ac:dyDescent="0.25">
      <c r="A105" s="11">
        <v>59</v>
      </c>
      <c r="B105" s="36" t="s">
        <v>464</v>
      </c>
      <c r="C105" s="37"/>
      <c r="D105" s="37"/>
      <c r="E105" s="37"/>
      <c r="F105" s="37"/>
      <c r="G105" s="37"/>
      <c r="H105" s="37"/>
      <c r="I105" s="38"/>
      <c r="J105" s="27"/>
      <c r="K105" s="27"/>
    </row>
    <row r="106" spans="1:11" x14ac:dyDescent="0.25">
      <c r="A106" s="11"/>
      <c r="B106" s="11" t="s">
        <v>5</v>
      </c>
      <c r="C106" s="36" t="s">
        <v>444</v>
      </c>
      <c r="D106" s="37"/>
      <c r="E106" s="37"/>
      <c r="F106" s="37"/>
      <c r="G106" s="38"/>
      <c r="H106" s="11" t="s">
        <v>439</v>
      </c>
      <c r="I106" s="4"/>
      <c r="J106" s="27"/>
      <c r="K106" s="27"/>
    </row>
    <row r="107" spans="1:11" x14ac:dyDescent="0.25">
      <c r="A107" s="11"/>
      <c r="B107" s="11" t="s">
        <v>7</v>
      </c>
      <c r="C107" s="36" t="s">
        <v>445</v>
      </c>
      <c r="D107" s="37"/>
      <c r="E107" s="37"/>
      <c r="F107" s="37"/>
      <c r="G107" s="38"/>
      <c r="H107" s="11" t="s">
        <v>440</v>
      </c>
      <c r="I107" s="4"/>
      <c r="J107" s="27"/>
      <c r="K107" s="27"/>
    </row>
    <row r="108" spans="1:11" x14ac:dyDescent="0.25">
      <c r="A108" s="11"/>
      <c r="B108" s="11" t="s">
        <v>8</v>
      </c>
      <c r="C108" s="36" t="s">
        <v>446</v>
      </c>
      <c r="D108" s="37"/>
      <c r="E108" s="37"/>
      <c r="F108" s="37"/>
      <c r="G108" s="38"/>
      <c r="H108" s="11" t="s">
        <v>441</v>
      </c>
      <c r="I108" s="4"/>
      <c r="J108" s="27"/>
      <c r="K108" s="27"/>
    </row>
    <row r="109" spans="1:11" x14ac:dyDescent="0.25">
      <c r="A109" s="11"/>
      <c r="B109" s="11" t="s">
        <v>9</v>
      </c>
      <c r="C109" s="36" t="s">
        <v>447</v>
      </c>
      <c r="D109" s="37"/>
      <c r="E109" s="37"/>
      <c r="F109" s="37"/>
      <c r="G109" s="38"/>
      <c r="H109" s="11" t="s">
        <v>442</v>
      </c>
      <c r="I109" s="4"/>
      <c r="J109" s="27"/>
      <c r="K109" s="27"/>
    </row>
    <row r="110" spans="1:11" x14ac:dyDescent="0.25">
      <c r="A110" s="11"/>
      <c r="B110" s="11" t="s">
        <v>15</v>
      </c>
      <c r="C110" s="36" t="s">
        <v>448</v>
      </c>
      <c r="D110" s="37"/>
      <c r="E110" s="37"/>
      <c r="F110" s="37"/>
      <c r="G110" s="38"/>
      <c r="H110" s="11" t="s">
        <v>443</v>
      </c>
      <c r="I110" s="4"/>
      <c r="J110" s="27"/>
      <c r="K110" s="27"/>
    </row>
    <row r="111" spans="1:11" x14ac:dyDescent="0.25">
      <c r="A111" s="11"/>
      <c r="B111" s="11" t="s">
        <v>16</v>
      </c>
      <c r="C111" s="36" t="s">
        <v>449</v>
      </c>
      <c r="D111" s="37"/>
      <c r="E111" s="37"/>
      <c r="F111" s="37"/>
      <c r="G111" s="37"/>
      <c r="H111" s="37"/>
      <c r="I111" s="38"/>
      <c r="J111" s="11" t="s">
        <v>450</v>
      </c>
      <c r="K111" s="5">
        <f>SUM(I106:I110)</f>
        <v>0</v>
      </c>
    </row>
    <row r="112" spans="1:11" x14ac:dyDescent="0.25">
      <c r="A112" s="11">
        <v>60</v>
      </c>
      <c r="B112" s="31" t="s">
        <v>451</v>
      </c>
      <c r="C112" s="31"/>
      <c r="D112" s="31"/>
      <c r="E112" s="31"/>
      <c r="F112" s="31"/>
      <c r="G112" s="31"/>
      <c r="H112" s="31"/>
      <c r="I112" s="31"/>
      <c r="J112" s="11">
        <v>60</v>
      </c>
      <c r="K112" s="5">
        <f>K104-K111</f>
        <v>0</v>
      </c>
    </row>
  </sheetData>
  <sheetProtection sheet="1" objects="1" scenarios="1"/>
  <mergeCells count="173">
    <mergeCell ref="C110:G110"/>
    <mergeCell ref="J110:K110"/>
    <mergeCell ref="C111:I111"/>
    <mergeCell ref="B112:I112"/>
    <mergeCell ref="C107:G107"/>
    <mergeCell ref="J107:K107"/>
    <mergeCell ref="C108:G108"/>
    <mergeCell ref="J108:K108"/>
    <mergeCell ref="C109:G109"/>
    <mergeCell ref="J109:K109"/>
    <mergeCell ref="B102:I102"/>
    <mergeCell ref="B103:I103"/>
    <mergeCell ref="B104:I104"/>
    <mergeCell ref="B105:I105"/>
    <mergeCell ref="J105:K105"/>
    <mergeCell ref="C106:G106"/>
    <mergeCell ref="J106:K106"/>
    <mergeCell ref="C96:I96"/>
    <mergeCell ref="B97:I97"/>
    <mergeCell ref="B98:I98"/>
    <mergeCell ref="A99:K99"/>
    <mergeCell ref="B100:I100"/>
    <mergeCell ref="B101:I101"/>
    <mergeCell ref="B93:I93"/>
    <mergeCell ref="J93:K93"/>
    <mergeCell ref="C94:G94"/>
    <mergeCell ref="J94:K94"/>
    <mergeCell ref="C95:G95"/>
    <mergeCell ref="J95:K95"/>
    <mergeCell ref="C88:G88"/>
    <mergeCell ref="J88:K88"/>
    <mergeCell ref="C89:I89"/>
    <mergeCell ref="B90:I90"/>
    <mergeCell ref="B91:I91"/>
    <mergeCell ref="B92:I92"/>
    <mergeCell ref="B84:I84"/>
    <mergeCell ref="B85:I85"/>
    <mergeCell ref="J85:K85"/>
    <mergeCell ref="C86:G86"/>
    <mergeCell ref="J86:K86"/>
    <mergeCell ref="C87:G87"/>
    <mergeCell ref="J87:K87"/>
    <mergeCell ref="C80:G80"/>
    <mergeCell ref="J80:K80"/>
    <mergeCell ref="C81:G81"/>
    <mergeCell ref="J81:K81"/>
    <mergeCell ref="C82:I82"/>
    <mergeCell ref="B83:I83"/>
    <mergeCell ref="C77:G77"/>
    <mergeCell ref="J77:K77"/>
    <mergeCell ref="C78:G78"/>
    <mergeCell ref="J78:K78"/>
    <mergeCell ref="C79:G79"/>
    <mergeCell ref="J79:K79"/>
    <mergeCell ref="C74:G74"/>
    <mergeCell ref="J74:K74"/>
    <mergeCell ref="C75:G75"/>
    <mergeCell ref="J75:K75"/>
    <mergeCell ref="C76:G76"/>
    <mergeCell ref="J76:K76"/>
    <mergeCell ref="B70:I70"/>
    <mergeCell ref="B71:I71"/>
    <mergeCell ref="B72:I72"/>
    <mergeCell ref="J72:K72"/>
    <mergeCell ref="C73:G73"/>
    <mergeCell ref="J73:K73"/>
    <mergeCell ref="B64:I64"/>
    <mergeCell ref="B65:I65"/>
    <mergeCell ref="B66:I66"/>
    <mergeCell ref="B67:I67"/>
    <mergeCell ref="B68:I68"/>
    <mergeCell ref="B69:I69"/>
    <mergeCell ref="C59:G59"/>
    <mergeCell ref="J59:K59"/>
    <mergeCell ref="C60:I60"/>
    <mergeCell ref="B61:I61"/>
    <mergeCell ref="B62:I62"/>
    <mergeCell ref="B63:I63"/>
    <mergeCell ref="C55:G55"/>
    <mergeCell ref="J55:K55"/>
    <mergeCell ref="C56:I56"/>
    <mergeCell ref="B57:I57"/>
    <mergeCell ref="J57:K57"/>
    <mergeCell ref="C58:G58"/>
    <mergeCell ref="J58:K58"/>
    <mergeCell ref="C51:G51"/>
    <mergeCell ref="J51:K51"/>
    <mergeCell ref="C52:I52"/>
    <mergeCell ref="B53:I53"/>
    <mergeCell ref="J53:K53"/>
    <mergeCell ref="C54:G54"/>
    <mergeCell ref="J54:K54"/>
    <mergeCell ref="B46:I46"/>
    <mergeCell ref="B47:I47"/>
    <mergeCell ref="B48:I48"/>
    <mergeCell ref="B49:I49"/>
    <mergeCell ref="J49:K49"/>
    <mergeCell ref="C50:G50"/>
    <mergeCell ref="J50:K50"/>
    <mergeCell ref="C41:G41"/>
    <mergeCell ref="J41:K41"/>
    <mergeCell ref="C42:I42"/>
    <mergeCell ref="B43:I43"/>
    <mergeCell ref="B44:I44"/>
    <mergeCell ref="B45:I45"/>
    <mergeCell ref="J37:K37"/>
    <mergeCell ref="C38:G38"/>
    <mergeCell ref="J38:K38"/>
    <mergeCell ref="C39:G39"/>
    <mergeCell ref="J39:K39"/>
    <mergeCell ref="C40:G40"/>
    <mergeCell ref="J40:K40"/>
    <mergeCell ref="C35:I35"/>
    <mergeCell ref="B37:I37"/>
    <mergeCell ref="C36:G36"/>
    <mergeCell ref="J36:K36"/>
    <mergeCell ref="C32:G32"/>
    <mergeCell ref="J32:K32"/>
    <mergeCell ref="C33:G33"/>
    <mergeCell ref="J33:K33"/>
    <mergeCell ref="C34:G34"/>
    <mergeCell ref="J34:K34"/>
    <mergeCell ref="C29:G29"/>
    <mergeCell ref="J29:K29"/>
    <mergeCell ref="C30:G30"/>
    <mergeCell ref="J30:K30"/>
    <mergeCell ref="C31:G31"/>
    <mergeCell ref="J31:K31"/>
    <mergeCell ref="C26:G26"/>
    <mergeCell ref="J26:K26"/>
    <mergeCell ref="C27:G27"/>
    <mergeCell ref="J27:K27"/>
    <mergeCell ref="C28:G28"/>
    <mergeCell ref="J28:K28"/>
    <mergeCell ref="C25:G25"/>
    <mergeCell ref="J25:K25"/>
    <mergeCell ref="B19:I19"/>
    <mergeCell ref="B24:I24"/>
    <mergeCell ref="B21:I21"/>
    <mergeCell ref="B22:I22"/>
    <mergeCell ref="B23:I23"/>
    <mergeCell ref="J24:K24"/>
    <mergeCell ref="B20:I20"/>
    <mergeCell ref="B16:I16"/>
    <mergeCell ref="A17:K17"/>
    <mergeCell ref="B18:I18"/>
    <mergeCell ref="C15:I15"/>
    <mergeCell ref="J12:K12"/>
    <mergeCell ref="J13:K13"/>
    <mergeCell ref="J14:K14"/>
    <mergeCell ref="C12:G12"/>
    <mergeCell ref="C13:G13"/>
    <mergeCell ref="C14:G14"/>
    <mergeCell ref="J9:K9"/>
    <mergeCell ref="J10:K10"/>
    <mergeCell ref="J11:K11"/>
    <mergeCell ref="J5:K5"/>
    <mergeCell ref="J6:K6"/>
    <mergeCell ref="J7:K7"/>
    <mergeCell ref="J8:K8"/>
    <mergeCell ref="A1:K1"/>
    <mergeCell ref="B2:I2"/>
    <mergeCell ref="J3:K3"/>
    <mergeCell ref="J4:K4"/>
    <mergeCell ref="B3:I3"/>
    <mergeCell ref="C4:G4"/>
    <mergeCell ref="C5:G5"/>
    <mergeCell ref="C6:G6"/>
    <mergeCell ref="C7:G7"/>
    <mergeCell ref="C8:G8"/>
    <mergeCell ref="C9:G9"/>
    <mergeCell ref="C10:G10"/>
    <mergeCell ref="C11:G11"/>
  </mergeCells>
  <hyperlinks>
    <hyperlink ref="I14" location="'P&amp;L Other Details'!A3" display="'P&amp;L Other Details'!A3"/>
    <hyperlink ref="K84" location="'P&amp;L Other Details'!D3" display="'P&amp;L Other Details'!D3"/>
    <hyperlink ref="I88" location="'P&amp;L Other Details'!U3" display="'P&amp;L Other Details'!U3"/>
    <hyperlink ref="I87" location="'P&amp;L Other Details'!K3" display="'P&amp;L Other Details'!K3"/>
    <hyperlink ref="I86" location="'P&amp;L Other Details'!G3" display="'P&amp;L Other Details'!G3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1"/>
  <sheetViews>
    <sheetView workbookViewId="0">
      <selection activeCell="B3" sqref="B3"/>
    </sheetView>
  </sheetViews>
  <sheetFormatPr defaultRowHeight="15" x14ac:dyDescent="0.25"/>
  <cols>
    <col min="1" max="1" width="53.140625" style="21" customWidth="1"/>
    <col min="2" max="2" width="18" style="23" customWidth="1"/>
    <col min="3" max="3" width="9.140625" style="17"/>
    <col min="4" max="4" width="53.140625" style="21" customWidth="1"/>
    <col min="5" max="5" width="18" style="23" customWidth="1"/>
    <col min="6" max="6" width="9.140625" style="17"/>
    <col min="7" max="7" width="17.7109375" style="22" customWidth="1"/>
    <col min="8" max="8" width="23.140625" style="22" customWidth="1"/>
    <col min="9" max="9" width="18" style="23" customWidth="1"/>
    <col min="10" max="10" width="9.140625" style="17"/>
    <col min="11" max="11" width="15.28515625" style="21" bestFit="1" customWidth="1"/>
    <col min="12" max="12" width="19.7109375" style="21" bestFit="1" customWidth="1"/>
    <col min="13" max="13" width="33.5703125" style="21" bestFit="1" customWidth="1"/>
    <col min="14" max="14" width="23.28515625" style="21" bestFit="1" customWidth="1"/>
    <col min="15" max="15" width="23.28515625" style="21" customWidth="1"/>
    <col min="16" max="16" width="18.42578125" style="21" bestFit="1" customWidth="1"/>
    <col min="17" max="17" width="15.85546875" style="21" customWidth="1"/>
    <col min="18" max="18" width="11.5703125" style="21" customWidth="1"/>
    <col min="19" max="19" width="12.7109375" style="21" bestFit="1" customWidth="1"/>
    <col min="20" max="20" width="18" style="23" customWidth="1"/>
    <col min="21" max="21" width="9.140625" style="17"/>
    <col min="22" max="22" width="53.140625" style="17" customWidth="1"/>
    <col min="23" max="23" width="18" style="17" customWidth="1"/>
    <col min="24" max="16382" width="9.140625" style="17"/>
    <col min="16383" max="16383" width="32.28515625" style="17" bestFit="1" customWidth="1"/>
    <col min="16384" max="16384" width="57.7109375" style="17" bestFit="1" customWidth="1"/>
  </cols>
  <sheetData>
    <row r="1" spans="1:23 16383:16384" x14ac:dyDescent="0.25">
      <c r="A1" s="42" t="s">
        <v>332</v>
      </c>
      <c r="B1" s="42"/>
      <c r="D1" s="42" t="s">
        <v>416</v>
      </c>
      <c r="E1" s="42"/>
      <c r="G1" s="43" t="s">
        <v>424</v>
      </c>
      <c r="H1" s="43"/>
      <c r="I1" s="43"/>
      <c r="K1" s="43" t="s">
        <v>425</v>
      </c>
      <c r="L1" s="43"/>
      <c r="M1" s="43"/>
      <c r="N1" s="43"/>
      <c r="O1" s="43"/>
      <c r="P1" s="43"/>
      <c r="Q1" s="43"/>
      <c r="R1" s="43"/>
      <c r="S1" s="43"/>
      <c r="T1" s="43"/>
      <c r="V1" s="42" t="s">
        <v>423</v>
      </c>
      <c r="W1" s="42"/>
      <c r="XFC1" s="24" t="s">
        <v>465</v>
      </c>
      <c r="XFD1" s="24" t="s">
        <v>466</v>
      </c>
    </row>
    <row r="2" spans="1:23 16383:16384" x14ac:dyDescent="0.25">
      <c r="A2" s="18" t="s">
        <v>236</v>
      </c>
      <c r="B2" s="18" t="s">
        <v>237</v>
      </c>
      <c r="D2" s="18" t="s">
        <v>236</v>
      </c>
      <c r="E2" s="18" t="s">
        <v>237</v>
      </c>
      <c r="G2" s="19" t="s">
        <v>452</v>
      </c>
      <c r="H2" s="19" t="s">
        <v>453</v>
      </c>
      <c r="I2" s="19" t="s">
        <v>237</v>
      </c>
      <c r="K2" s="20" t="s">
        <v>454</v>
      </c>
      <c r="L2" s="20" t="s">
        <v>455</v>
      </c>
      <c r="M2" s="20" t="s">
        <v>456</v>
      </c>
      <c r="N2" s="20" t="s">
        <v>457</v>
      </c>
      <c r="O2" s="20" t="s">
        <v>463</v>
      </c>
      <c r="P2" s="20" t="s">
        <v>458</v>
      </c>
      <c r="Q2" s="20" t="s">
        <v>459</v>
      </c>
      <c r="R2" s="20" t="s">
        <v>460</v>
      </c>
      <c r="S2" s="20" t="s">
        <v>461</v>
      </c>
      <c r="T2" s="19" t="s">
        <v>237</v>
      </c>
      <c r="V2" s="18" t="s">
        <v>236</v>
      </c>
      <c r="W2" s="18" t="s">
        <v>237</v>
      </c>
      <c r="XFC2" s="24" t="s">
        <v>467</v>
      </c>
      <c r="XFD2" s="24" t="s">
        <v>508</v>
      </c>
    </row>
    <row r="3" spans="1:23 16383:16384" x14ac:dyDescent="0.25">
      <c r="A3" s="9" t="s">
        <v>462</v>
      </c>
      <c r="XFC3" s="24" t="s">
        <v>468</v>
      </c>
      <c r="XFD3" s="24" t="s">
        <v>509</v>
      </c>
    </row>
    <row r="4" spans="1:23 16383:16384" x14ac:dyDescent="0.25">
      <c r="XFC4" s="24" t="s">
        <v>469</v>
      </c>
      <c r="XFD4" s="24" t="s">
        <v>510</v>
      </c>
    </row>
    <row r="5" spans="1:23 16383:16384" x14ac:dyDescent="0.25">
      <c r="XFC5" s="24" t="s">
        <v>470</v>
      </c>
      <c r="XFD5" s="24" t="s">
        <v>511</v>
      </c>
    </row>
    <row r="6" spans="1:23 16383:16384" x14ac:dyDescent="0.25">
      <c r="XFC6" s="24" t="s">
        <v>471</v>
      </c>
      <c r="XFD6" s="24" t="s">
        <v>512</v>
      </c>
    </row>
    <row r="7" spans="1:23 16383:16384" x14ac:dyDescent="0.25">
      <c r="XFC7" s="24" t="s">
        <v>472</v>
      </c>
      <c r="XFD7" s="24" t="s">
        <v>513</v>
      </c>
    </row>
    <row r="8" spans="1:23 16383:16384" x14ac:dyDescent="0.25">
      <c r="XFC8" s="24" t="s">
        <v>473</v>
      </c>
      <c r="XFD8" s="24" t="s">
        <v>514</v>
      </c>
    </row>
    <row r="9" spans="1:23 16383:16384" x14ac:dyDescent="0.25">
      <c r="XFC9" s="24" t="s">
        <v>474</v>
      </c>
      <c r="XFD9" s="24" t="s">
        <v>515</v>
      </c>
    </row>
    <row r="10" spans="1:23 16383:16384" x14ac:dyDescent="0.25">
      <c r="XFC10" s="24" t="s">
        <v>475</v>
      </c>
      <c r="XFD10" s="24" t="s">
        <v>516</v>
      </c>
    </row>
    <row r="11" spans="1:23 16383:16384" x14ac:dyDescent="0.25">
      <c r="XFC11" s="24" t="s">
        <v>476</v>
      </c>
      <c r="XFD11" s="24" t="s">
        <v>517</v>
      </c>
    </row>
    <row r="12" spans="1:23 16383:16384" x14ac:dyDescent="0.25">
      <c r="XFC12" s="24" t="s">
        <v>477</v>
      </c>
      <c r="XFD12" s="24" t="s">
        <v>518</v>
      </c>
    </row>
    <row r="13" spans="1:23 16383:16384" x14ac:dyDescent="0.25">
      <c r="XFC13" s="24" t="s">
        <v>478</v>
      </c>
      <c r="XFD13" s="24" t="s">
        <v>519</v>
      </c>
    </row>
    <row r="14" spans="1:23 16383:16384" x14ac:dyDescent="0.25">
      <c r="XFC14" s="24" t="s">
        <v>479</v>
      </c>
      <c r="XFD14" s="24" t="s">
        <v>520</v>
      </c>
    </row>
    <row r="15" spans="1:23 16383:16384" x14ac:dyDescent="0.25">
      <c r="XFC15" s="24" t="s">
        <v>480</v>
      </c>
      <c r="XFD15" s="24" t="s">
        <v>521</v>
      </c>
    </row>
    <row r="16" spans="1:23 16383:16384" x14ac:dyDescent="0.25">
      <c r="XFC16" s="24" t="s">
        <v>481</v>
      </c>
      <c r="XFD16" s="24" t="s">
        <v>522</v>
      </c>
    </row>
    <row r="17" spans="16383:16384" x14ac:dyDescent="0.25">
      <c r="XFC17" s="24" t="s">
        <v>482</v>
      </c>
      <c r="XFD17" s="24" t="s">
        <v>523</v>
      </c>
    </row>
    <row r="18" spans="16383:16384" x14ac:dyDescent="0.25">
      <c r="XFC18" s="24" t="s">
        <v>483</v>
      </c>
      <c r="XFD18" s="24" t="s">
        <v>524</v>
      </c>
    </row>
    <row r="19" spans="16383:16384" x14ac:dyDescent="0.25">
      <c r="XFC19" s="24" t="s">
        <v>484</v>
      </c>
      <c r="XFD19" s="24" t="s">
        <v>525</v>
      </c>
    </row>
    <row r="20" spans="16383:16384" x14ac:dyDescent="0.25">
      <c r="XFC20" s="24" t="s">
        <v>485</v>
      </c>
      <c r="XFD20" s="24" t="s">
        <v>526</v>
      </c>
    </row>
    <row r="21" spans="16383:16384" x14ac:dyDescent="0.25">
      <c r="XFC21" s="24" t="s">
        <v>486</v>
      </c>
      <c r="XFD21" s="24" t="s">
        <v>527</v>
      </c>
    </row>
    <row r="22" spans="16383:16384" x14ac:dyDescent="0.25">
      <c r="XFC22" s="24" t="s">
        <v>487</v>
      </c>
      <c r="XFD22" s="24" t="s">
        <v>528</v>
      </c>
    </row>
    <row r="23" spans="16383:16384" x14ac:dyDescent="0.25">
      <c r="XFC23" s="24" t="s">
        <v>488</v>
      </c>
      <c r="XFD23" s="24" t="s">
        <v>529</v>
      </c>
    </row>
    <row r="24" spans="16383:16384" x14ac:dyDescent="0.25">
      <c r="XFC24" s="24" t="s">
        <v>489</v>
      </c>
      <c r="XFD24" s="24" t="s">
        <v>530</v>
      </c>
    </row>
    <row r="25" spans="16383:16384" x14ac:dyDescent="0.25">
      <c r="XFC25" s="24" t="s">
        <v>490</v>
      </c>
      <c r="XFD25" s="24" t="s">
        <v>531</v>
      </c>
    </row>
    <row r="26" spans="16383:16384" x14ac:dyDescent="0.25">
      <c r="XFC26" s="24" t="s">
        <v>491</v>
      </c>
      <c r="XFD26" s="24" t="s">
        <v>532</v>
      </c>
    </row>
    <row r="27" spans="16383:16384" x14ac:dyDescent="0.25">
      <c r="XFC27" s="24" t="s">
        <v>492</v>
      </c>
      <c r="XFD27" s="24" t="s">
        <v>533</v>
      </c>
    </row>
    <row r="28" spans="16383:16384" x14ac:dyDescent="0.25">
      <c r="XFC28" s="24" t="s">
        <v>493</v>
      </c>
      <c r="XFD28" s="24" t="s">
        <v>534</v>
      </c>
    </row>
    <row r="29" spans="16383:16384" x14ac:dyDescent="0.25">
      <c r="XFC29" s="24" t="s">
        <v>494</v>
      </c>
      <c r="XFD29" s="24" t="s">
        <v>535</v>
      </c>
    </row>
    <row r="30" spans="16383:16384" x14ac:dyDescent="0.25">
      <c r="XFC30" s="24" t="s">
        <v>495</v>
      </c>
      <c r="XFD30" s="24" t="s">
        <v>536</v>
      </c>
    </row>
    <row r="31" spans="16383:16384" x14ac:dyDescent="0.25">
      <c r="XFC31" s="24" t="s">
        <v>496</v>
      </c>
      <c r="XFD31" s="24" t="s">
        <v>537</v>
      </c>
    </row>
    <row r="32" spans="16383:16384" x14ac:dyDescent="0.25">
      <c r="XFC32" s="24" t="s">
        <v>497</v>
      </c>
      <c r="XFD32" s="24" t="s">
        <v>538</v>
      </c>
    </row>
    <row r="33" spans="16383:16384" x14ac:dyDescent="0.25">
      <c r="XFC33" s="24" t="s">
        <v>498</v>
      </c>
      <c r="XFD33" s="24" t="s">
        <v>539</v>
      </c>
    </row>
    <row r="34" spans="16383:16384" x14ac:dyDescent="0.25">
      <c r="XFC34" s="24" t="s">
        <v>499</v>
      </c>
      <c r="XFD34" s="24" t="s">
        <v>540</v>
      </c>
    </row>
    <row r="35" spans="16383:16384" x14ac:dyDescent="0.25">
      <c r="XFC35" s="24" t="s">
        <v>500</v>
      </c>
      <c r="XFD35" s="24" t="s">
        <v>541</v>
      </c>
    </row>
    <row r="36" spans="16383:16384" x14ac:dyDescent="0.25">
      <c r="XFC36" s="24" t="s">
        <v>501</v>
      </c>
      <c r="XFD36" s="24" t="s">
        <v>542</v>
      </c>
    </row>
    <row r="37" spans="16383:16384" x14ac:dyDescent="0.25">
      <c r="XFC37" s="24" t="s">
        <v>502</v>
      </c>
      <c r="XFD37" s="24" t="s">
        <v>543</v>
      </c>
    </row>
    <row r="38" spans="16383:16384" x14ac:dyDescent="0.25">
      <c r="XFC38" s="24" t="s">
        <v>503</v>
      </c>
      <c r="XFD38" s="24" t="s">
        <v>544</v>
      </c>
    </row>
    <row r="39" spans="16383:16384" x14ac:dyDescent="0.25">
      <c r="XFC39" s="24" t="s">
        <v>504</v>
      </c>
      <c r="XFD39" s="24" t="s">
        <v>545</v>
      </c>
    </row>
    <row r="40" spans="16383:16384" x14ac:dyDescent="0.25">
      <c r="XFC40" s="24" t="s">
        <v>505</v>
      </c>
      <c r="XFD40" s="24" t="s">
        <v>546</v>
      </c>
    </row>
    <row r="41" spans="16383:16384" x14ac:dyDescent="0.25">
      <c r="XFC41" s="24" t="s">
        <v>506</v>
      </c>
      <c r="XFD41" s="24" t="s">
        <v>547</v>
      </c>
    </row>
    <row r="42" spans="16383:16384" x14ac:dyDescent="0.25">
      <c r="XFC42" s="24" t="s">
        <v>507</v>
      </c>
      <c r="XFD42" s="24" t="s">
        <v>548</v>
      </c>
    </row>
    <row r="43" spans="16383:16384" x14ac:dyDescent="0.25">
      <c r="XFD43" s="24" t="s">
        <v>549</v>
      </c>
    </row>
    <row r="44" spans="16383:16384" x14ac:dyDescent="0.25">
      <c r="XFD44" s="24" t="s">
        <v>550</v>
      </c>
    </row>
    <row r="45" spans="16383:16384" x14ac:dyDescent="0.25">
      <c r="XFD45" s="24" t="s">
        <v>551</v>
      </c>
    </row>
    <row r="46" spans="16383:16384" x14ac:dyDescent="0.25">
      <c r="XFD46" s="24" t="s">
        <v>552</v>
      </c>
    </row>
    <row r="47" spans="16383:16384" x14ac:dyDescent="0.25">
      <c r="XFD47" s="24" t="s">
        <v>553</v>
      </c>
    </row>
    <row r="48" spans="16383:16384" x14ac:dyDescent="0.25">
      <c r="XFD48" s="24" t="s">
        <v>554</v>
      </c>
    </row>
    <row r="49" spans="16384:16384" x14ac:dyDescent="0.25">
      <c r="XFD49" s="24" t="s">
        <v>555</v>
      </c>
    </row>
    <row r="50" spans="16384:16384" x14ac:dyDescent="0.25">
      <c r="XFD50" s="24" t="s">
        <v>556</v>
      </c>
    </row>
    <row r="51" spans="16384:16384" x14ac:dyDescent="0.25">
      <c r="XFD51" s="24" t="s">
        <v>557</v>
      </c>
    </row>
    <row r="52" spans="16384:16384" x14ac:dyDescent="0.25">
      <c r="XFD52" s="24" t="s">
        <v>558</v>
      </c>
    </row>
    <row r="53" spans="16384:16384" x14ac:dyDescent="0.25">
      <c r="XFD53" s="24" t="s">
        <v>559</v>
      </c>
    </row>
    <row r="54" spans="16384:16384" x14ac:dyDescent="0.25">
      <c r="XFD54" s="24" t="s">
        <v>560</v>
      </c>
    </row>
    <row r="55" spans="16384:16384" x14ac:dyDescent="0.25">
      <c r="XFD55" s="24" t="s">
        <v>561</v>
      </c>
    </row>
    <row r="56" spans="16384:16384" x14ac:dyDescent="0.25">
      <c r="XFD56" s="24" t="s">
        <v>562</v>
      </c>
    </row>
    <row r="57" spans="16384:16384" x14ac:dyDescent="0.25">
      <c r="XFD57" s="24" t="s">
        <v>563</v>
      </c>
    </row>
    <row r="58" spans="16384:16384" x14ac:dyDescent="0.25">
      <c r="XFD58" s="24" t="s">
        <v>564</v>
      </c>
    </row>
    <row r="59" spans="16384:16384" x14ac:dyDescent="0.25">
      <c r="XFD59" s="24" t="s">
        <v>565</v>
      </c>
    </row>
    <row r="60" spans="16384:16384" x14ac:dyDescent="0.25">
      <c r="XFD60" s="24" t="s">
        <v>566</v>
      </c>
    </row>
    <row r="61" spans="16384:16384" x14ac:dyDescent="0.25">
      <c r="XFD61" s="24" t="s">
        <v>567</v>
      </c>
    </row>
    <row r="62" spans="16384:16384" x14ac:dyDescent="0.25">
      <c r="XFD62" s="24" t="s">
        <v>568</v>
      </c>
    </row>
    <row r="63" spans="16384:16384" x14ac:dyDescent="0.25">
      <c r="XFD63" s="24" t="s">
        <v>569</v>
      </c>
    </row>
    <row r="64" spans="16384:16384" x14ac:dyDescent="0.25">
      <c r="XFD64" s="24" t="s">
        <v>570</v>
      </c>
    </row>
    <row r="65" spans="16384:16384" x14ac:dyDescent="0.25">
      <c r="XFD65" s="24" t="s">
        <v>571</v>
      </c>
    </row>
    <row r="66" spans="16384:16384" x14ac:dyDescent="0.25">
      <c r="XFD66" s="24" t="s">
        <v>572</v>
      </c>
    </row>
    <row r="67" spans="16384:16384" x14ac:dyDescent="0.25">
      <c r="XFD67" s="24" t="s">
        <v>573</v>
      </c>
    </row>
    <row r="68" spans="16384:16384" x14ac:dyDescent="0.25">
      <c r="XFD68" s="24" t="s">
        <v>574</v>
      </c>
    </row>
    <row r="69" spans="16384:16384" x14ac:dyDescent="0.25">
      <c r="XFD69" s="24" t="s">
        <v>575</v>
      </c>
    </row>
    <row r="70" spans="16384:16384" x14ac:dyDescent="0.25">
      <c r="XFD70" s="24" t="s">
        <v>576</v>
      </c>
    </row>
    <row r="71" spans="16384:16384" x14ac:dyDescent="0.25">
      <c r="XFD71" s="24" t="s">
        <v>577</v>
      </c>
    </row>
    <row r="72" spans="16384:16384" x14ac:dyDescent="0.25">
      <c r="XFD72" s="24" t="s">
        <v>578</v>
      </c>
    </row>
    <row r="73" spans="16384:16384" x14ac:dyDescent="0.25">
      <c r="XFD73" s="24" t="s">
        <v>579</v>
      </c>
    </row>
    <row r="74" spans="16384:16384" x14ac:dyDescent="0.25">
      <c r="XFD74" s="24" t="s">
        <v>580</v>
      </c>
    </row>
    <row r="75" spans="16384:16384" x14ac:dyDescent="0.25">
      <c r="XFD75" s="24" t="s">
        <v>581</v>
      </c>
    </row>
    <row r="76" spans="16384:16384" x14ac:dyDescent="0.25">
      <c r="XFD76" s="24" t="s">
        <v>582</v>
      </c>
    </row>
    <row r="77" spans="16384:16384" x14ac:dyDescent="0.25">
      <c r="XFD77" s="24" t="s">
        <v>583</v>
      </c>
    </row>
    <row r="78" spans="16384:16384" x14ac:dyDescent="0.25">
      <c r="XFD78" s="24" t="s">
        <v>584</v>
      </c>
    </row>
    <row r="79" spans="16384:16384" x14ac:dyDescent="0.25">
      <c r="XFD79" s="24" t="s">
        <v>585</v>
      </c>
    </row>
    <row r="80" spans="16384:16384" x14ac:dyDescent="0.25">
      <c r="XFD80" s="24" t="s">
        <v>586</v>
      </c>
    </row>
    <row r="81" spans="16384:16384" x14ac:dyDescent="0.25">
      <c r="XFD81" s="24" t="s">
        <v>587</v>
      </c>
    </row>
    <row r="82" spans="16384:16384" x14ac:dyDescent="0.25">
      <c r="XFD82" s="24" t="s">
        <v>588</v>
      </c>
    </row>
    <row r="83" spans="16384:16384" x14ac:dyDescent="0.25">
      <c r="XFD83" s="24" t="s">
        <v>589</v>
      </c>
    </row>
    <row r="84" spans="16384:16384" x14ac:dyDescent="0.25">
      <c r="XFD84" s="24" t="s">
        <v>590</v>
      </c>
    </row>
    <row r="85" spans="16384:16384" x14ac:dyDescent="0.25">
      <c r="XFD85" s="24" t="s">
        <v>591</v>
      </c>
    </row>
    <row r="86" spans="16384:16384" x14ac:dyDescent="0.25">
      <c r="XFD86" s="24" t="s">
        <v>592</v>
      </c>
    </row>
    <row r="87" spans="16384:16384" x14ac:dyDescent="0.25">
      <c r="XFD87" s="24" t="s">
        <v>593</v>
      </c>
    </row>
    <row r="88" spans="16384:16384" x14ac:dyDescent="0.25">
      <c r="XFD88" s="24" t="s">
        <v>594</v>
      </c>
    </row>
    <row r="89" spans="16384:16384" x14ac:dyDescent="0.25">
      <c r="XFD89" s="24" t="s">
        <v>595</v>
      </c>
    </row>
    <row r="90" spans="16384:16384" x14ac:dyDescent="0.25">
      <c r="XFD90" s="24" t="s">
        <v>596</v>
      </c>
    </row>
    <row r="91" spans="16384:16384" x14ac:dyDescent="0.25">
      <c r="XFD91" s="24" t="s">
        <v>597</v>
      </c>
    </row>
    <row r="92" spans="16384:16384" x14ac:dyDescent="0.25">
      <c r="XFD92" s="24" t="s">
        <v>598</v>
      </c>
    </row>
    <row r="93" spans="16384:16384" x14ac:dyDescent="0.25">
      <c r="XFD93" s="24" t="s">
        <v>599</v>
      </c>
    </row>
    <row r="94" spans="16384:16384" x14ac:dyDescent="0.25">
      <c r="XFD94" s="24" t="s">
        <v>600</v>
      </c>
    </row>
    <row r="95" spans="16384:16384" x14ac:dyDescent="0.25">
      <c r="XFD95" s="24" t="s">
        <v>601</v>
      </c>
    </row>
    <row r="96" spans="16384:16384" x14ac:dyDescent="0.25">
      <c r="XFD96" s="24" t="s">
        <v>602</v>
      </c>
    </row>
    <row r="97" spans="16384:16384" x14ac:dyDescent="0.25">
      <c r="XFD97" s="24" t="s">
        <v>603</v>
      </c>
    </row>
    <row r="98" spans="16384:16384" x14ac:dyDescent="0.25">
      <c r="XFD98" s="24" t="s">
        <v>604</v>
      </c>
    </row>
    <row r="99" spans="16384:16384" x14ac:dyDescent="0.25">
      <c r="XFD99" s="24" t="s">
        <v>605</v>
      </c>
    </row>
    <row r="100" spans="16384:16384" x14ac:dyDescent="0.25">
      <c r="XFD100" s="24" t="s">
        <v>606</v>
      </c>
    </row>
    <row r="101" spans="16384:16384" x14ac:dyDescent="0.25">
      <c r="XFD101" s="24" t="s">
        <v>607</v>
      </c>
    </row>
    <row r="102" spans="16384:16384" x14ac:dyDescent="0.25">
      <c r="XFD102" s="24" t="s">
        <v>608</v>
      </c>
    </row>
    <row r="103" spans="16384:16384" x14ac:dyDescent="0.25">
      <c r="XFD103" s="24" t="s">
        <v>609</v>
      </c>
    </row>
    <row r="104" spans="16384:16384" x14ac:dyDescent="0.25">
      <c r="XFD104" s="24" t="s">
        <v>610</v>
      </c>
    </row>
    <row r="105" spans="16384:16384" x14ac:dyDescent="0.25">
      <c r="XFD105" s="24" t="s">
        <v>611</v>
      </c>
    </row>
    <row r="106" spans="16384:16384" x14ac:dyDescent="0.25">
      <c r="XFD106" s="24" t="s">
        <v>612</v>
      </c>
    </row>
    <row r="107" spans="16384:16384" x14ac:dyDescent="0.25">
      <c r="XFD107" s="24" t="s">
        <v>613</v>
      </c>
    </row>
    <row r="108" spans="16384:16384" x14ac:dyDescent="0.25">
      <c r="XFD108" s="24" t="s">
        <v>614</v>
      </c>
    </row>
    <row r="109" spans="16384:16384" x14ac:dyDescent="0.25">
      <c r="XFD109" s="24" t="s">
        <v>615</v>
      </c>
    </row>
    <row r="110" spans="16384:16384" x14ac:dyDescent="0.25">
      <c r="XFD110" s="24" t="s">
        <v>616</v>
      </c>
    </row>
    <row r="111" spans="16384:16384" x14ac:dyDescent="0.25">
      <c r="XFD111" s="24" t="s">
        <v>617</v>
      </c>
    </row>
    <row r="112" spans="16384:16384" x14ac:dyDescent="0.25">
      <c r="XFD112" s="24" t="s">
        <v>618</v>
      </c>
    </row>
    <row r="113" spans="16384:16384" x14ac:dyDescent="0.25">
      <c r="XFD113" s="24" t="s">
        <v>619</v>
      </c>
    </row>
    <row r="114" spans="16384:16384" x14ac:dyDescent="0.25">
      <c r="XFD114" s="24" t="s">
        <v>620</v>
      </c>
    </row>
    <row r="115" spans="16384:16384" x14ac:dyDescent="0.25">
      <c r="XFD115" s="24" t="s">
        <v>621</v>
      </c>
    </row>
    <row r="116" spans="16384:16384" x14ac:dyDescent="0.25">
      <c r="XFD116" s="24" t="s">
        <v>622</v>
      </c>
    </row>
    <row r="117" spans="16384:16384" x14ac:dyDescent="0.25">
      <c r="XFD117" s="24" t="s">
        <v>623</v>
      </c>
    </row>
    <row r="118" spans="16384:16384" x14ac:dyDescent="0.25">
      <c r="XFD118" s="24" t="s">
        <v>624</v>
      </c>
    </row>
    <row r="119" spans="16384:16384" x14ac:dyDescent="0.25">
      <c r="XFD119" s="24" t="s">
        <v>625</v>
      </c>
    </row>
    <row r="120" spans="16384:16384" x14ac:dyDescent="0.25">
      <c r="XFD120" s="24" t="s">
        <v>626</v>
      </c>
    </row>
    <row r="121" spans="16384:16384" x14ac:dyDescent="0.25">
      <c r="XFD121" s="24" t="s">
        <v>627</v>
      </c>
    </row>
    <row r="122" spans="16384:16384" x14ac:dyDescent="0.25">
      <c r="XFD122" s="24" t="s">
        <v>628</v>
      </c>
    </row>
    <row r="123" spans="16384:16384" x14ac:dyDescent="0.25">
      <c r="XFD123" s="24" t="s">
        <v>629</v>
      </c>
    </row>
    <row r="124" spans="16384:16384" x14ac:dyDescent="0.25">
      <c r="XFD124" s="24" t="s">
        <v>630</v>
      </c>
    </row>
    <row r="125" spans="16384:16384" x14ac:dyDescent="0.25">
      <c r="XFD125" s="24" t="s">
        <v>631</v>
      </c>
    </row>
    <row r="126" spans="16384:16384" x14ac:dyDescent="0.25">
      <c r="XFD126" s="24" t="s">
        <v>632</v>
      </c>
    </row>
    <row r="127" spans="16384:16384" x14ac:dyDescent="0.25">
      <c r="XFD127" s="24" t="s">
        <v>633</v>
      </c>
    </row>
    <row r="128" spans="16384:16384" x14ac:dyDescent="0.25">
      <c r="XFD128" s="24" t="s">
        <v>634</v>
      </c>
    </row>
    <row r="129" spans="16384:16384" x14ac:dyDescent="0.25">
      <c r="XFD129" s="24" t="s">
        <v>635</v>
      </c>
    </row>
    <row r="130" spans="16384:16384" x14ac:dyDescent="0.25">
      <c r="XFD130" s="24" t="s">
        <v>636</v>
      </c>
    </row>
    <row r="131" spans="16384:16384" x14ac:dyDescent="0.25">
      <c r="XFD131" s="24" t="s">
        <v>637</v>
      </c>
    </row>
    <row r="132" spans="16384:16384" x14ac:dyDescent="0.25">
      <c r="XFD132" s="24" t="s">
        <v>638</v>
      </c>
    </row>
    <row r="133" spans="16384:16384" x14ac:dyDescent="0.25">
      <c r="XFD133" s="24" t="s">
        <v>639</v>
      </c>
    </row>
    <row r="134" spans="16384:16384" x14ac:dyDescent="0.25">
      <c r="XFD134" s="24" t="s">
        <v>640</v>
      </c>
    </row>
    <row r="135" spans="16384:16384" x14ac:dyDescent="0.25">
      <c r="XFD135" s="24" t="s">
        <v>641</v>
      </c>
    </row>
    <row r="136" spans="16384:16384" x14ac:dyDescent="0.25">
      <c r="XFD136" s="24" t="s">
        <v>642</v>
      </c>
    </row>
    <row r="137" spans="16384:16384" x14ac:dyDescent="0.25">
      <c r="XFD137" s="24" t="s">
        <v>643</v>
      </c>
    </row>
    <row r="138" spans="16384:16384" x14ac:dyDescent="0.25">
      <c r="XFD138" s="24" t="s">
        <v>644</v>
      </c>
    </row>
    <row r="139" spans="16384:16384" x14ac:dyDescent="0.25">
      <c r="XFD139" s="24" t="s">
        <v>645</v>
      </c>
    </row>
    <row r="140" spans="16384:16384" x14ac:dyDescent="0.25">
      <c r="XFD140" s="24" t="s">
        <v>646</v>
      </c>
    </row>
    <row r="141" spans="16384:16384" x14ac:dyDescent="0.25">
      <c r="XFD141" s="24" t="s">
        <v>647</v>
      </c>
    </row>
    <row r="142" spans="16384:16384" x14ac:dyDescent="0.25">
      <c r="XFD142" s="24" t="s">
        <v>648</v>
      </c>
    </row>
    <row r="143" spans="16384:16384" x14ac:dyDescent="0.25">
      <c r="XFD143" s="24" t="s">
        <v>649</v>
      </c>
    </row>
    <row r="144" spans="16384:16384" x14ac:dyDescent="0.25">
      <c r="XFD144" s="24" t="s">
        <v>650</v>
      </c>
    </row>
    <row r="145" spans="16384:16384" x14ac:dyDescent="0.25">
      <c r="XFD145" s="24" t="s">
        <v>651</v>
      </c>
    </row>
    <row r="146" spans="16384:16384" x14ac:dyDescent="0.25">
      <c r="XFD146" s="24" t="s">
        <v>652</v>
      </c>
    </row>
    <row r="147" spans="16384:16384" x14ac:dyDescent="0.25">
      <c r="XFD147" s="24" t="s">
        <v>653</v>
      </c>
    </row>
    <row r="148" spans="16384:16384" x14ac:dyDescent="0.25">
      <c r="XFD148" s="24" t="s">
        <v>654</v>
      </c>
    </row>
    <row r="149" spans="16384:16384" x14ac:dyDescent="0.25">
      <c r="XFD149" s="24" t="s">
        <v>655</v>
      </c>
    </row>
    <row r="150" spans="16384:16384" x14ac:dyDescent="0.25">
      <c r="XFD150" s="24" t="s">
        <v>656</v>
      </c>
    </row>
    <row r="151" spans="16384:16384" x14ac:dyDescent="0.25">
      <c r="XFD151" s="24" t="s">
        <v>657</v>
      </c>
    </row>
    <row r="152" spans="16384:16384" x14ac:dyDescent="0.25">
      <c r="XFD152" s="24" t="s">
        <v>658</v>
      </c>
    </row>
    <row r="153" spans="16384:16384" x14ac:dyDescent="0.25">
      <c r="XFD153" s="24" t="s">
        <v>659</v>
      </c>
    </row>
    <row r="154" spans="16384:16384" x14ac:dyDescent="0.25">
      <c r="XFD154" s="24" t="s">
        <v>660</v>
      </c>
    </row>
    <row r="155" spans="16384:16384" x14ac:dyDescent="0.25">
      <c r="XFD155" s="24" t="s">
        <v>661</v>
      </c>
    </row>
    <row r="156" spans="16384:16384" x14ac:dyDescent="0.25">
      <c r="XFD156" s="24" t="s">
        <v>662</v>
      </c>
    </row>
    <row r="157" spans="16384:16384" x14ac:dyDescent="0.25">
      <c r="XFD157" s="24" t="s">
        <v>663</v>
      </c>
    </row>
    <row r="158" spans="16384:16384" x14ac:dyDescent="0.25">
      <c r="XFD158" s="24" t="s">
        <v>664</v>
      </c>
    </row>
    <row r="159" spans="16384:16384" x14ac:dyDescent="0.25">
      <c r="XFD159" s="24" t="s">
        <v>665</v>
      </c>
    </row>
    <row r="160" spans="16384:16384" x14ac:dyDescent="0.25">
      <c r="XFD160" s="24" t="s">
        <v>666</v>
      </c>
    </row>
    <row r="161" spans="16384:16384" x14ac:dyDescent="0.25">
      <c r="XFD161" s="24" t="s">
        <v>667</v>
      </c>
    </row>
    <row r="162" spans="16384:16384" x14ac:dyDescent="0.25">
      <c r="XFD162" s="24" t="s">
        <v>668</v>
      </c>
    </row>
    <row r="163" spans="16384:16384" x14ac:dyDescent="0.25">
      <c r="XFD163" s="24" t="s">
        <v>669</v>
      </c>
    </row>
    <row r="164" spans="16384:16384" x14ac:dyDescent="0.25">
      <c r="XFD164" s="24" t="s">
        <v>670</v>
      </c>
    </row>
    <row r="165" spans="16384:16384" x14ac:dyDescent="0.25">
      <c r="XFD165" s="24" t="s">
        <v>671</v>
      </c>
    </row>
    <row r="166" spans="16384:16384" x14ac:dyDescent="0.25">
      <c r="XFD166" s="24" t="s">
        <v>672</v>
      </c>
    </row>
    <row r="167" spans="16384:16384" x14ac:dyDescent="0.25">
      <c r="XFD167" s="24" t="s">
        <v>673</v>
      </c>
    </row>
    <row r="168" spans="16384:16384" x14ac:dyDescent="0.25">
      <c r="XFD168" s="24" t="s">
        <v>674</v>
      </c>
    </row>
    <row r="169" spans="16384:16384" x14ac:dyDescent="0.25">
      <c r="XFD169" s="24" t="s">
        <v>675</v>
      </c>
    </row>
    <row r="170" spans="16384:16384" x14ac:dyDescent="0.25">
      <c r="XFD170" s="24" t="s">
        <v>676</v>
      </c>
    </row>
    <row r="171" spans="16384:16384" x14ac:dyDescent="0.25">
      <c r="XFD171" s="24" t="s">
        <v>677</v>
      </c>
    </row>
    <row r="172" spans="16384:16384" x14ac:dyDescent="0.25">
      <c r="XFD172" s="24" t="s">
        <v>678</v>
      </c>
    </row>
    <row r="173" spans="16384:16384" x14ac:dyDescent="0.25">
      <c r="XFD173" s="24" t="s">
        <v>679</v>
      </c>
    </row>
    <row r="174" spans="16384:16384" x14ac:dyDescent="0.25">
      <c r="XFD174" s="24" t="s">
        <v>680</v>
      </c>
    </row>
    <row r="175" spans="16384:16384" x14ac:dyDescent="0.25">
      <c r="XFD175" s="24" t="s">
        <v>681</v>
      </c>
    </row>
    <row r="176" spans="16384:16384" x14ac:dyDescent="0.25">
      <c r="XFD176" s="24" t="s">
        <v>682</v>
      </c>
    </row>
    <row r="177" spans="16384:16384" x14ac:dyDescent="0.25">
      <c r="XFD177" s="24" t="s">
        <v>683</v>
      </c>
    </row>
    <row r="178" spans="16384:16384" x14ac:dyDescent="0.25">
      <c r="XFD178" s="24" t="s">
        <v>684</v>
      </c>
    </row>
    <row r="179" spans="16384:16384" x14ac:dyDescent="0.25">
      <c r="XFD179" s="24" t="s">
        <v>685</v>
      </c>
    </row>
    <row r="180" spans="16384:16384" x14ac:dyDescent="0.25">
      <c r="XFD180" s="24" t="s">
        <v>686</v>
      </c>
    </row>
    <row r="181" spans="16384:16384" x14ac:dyDescent="0.25">
      <c r="XFD181" s="24" t="s">
        <v>687</v>
      </c>
    </row>
    <row r="182" spans="16384:16384" x14ac:dyDescent="0.25">
      <c r="XFD182" s="24" t="s">
        <v>688</v>
      </c>
    </row>
    <row r="183" spans="16384:16384" x14ac:dyDescent="0.25">
      <c r="XFD183" s="24" t="s">
        <v>689</v>
      </c>
    </row>
    <row r="184" spans="16384:16384" x14ac:dyDescent="0.25">
      <c r="XFD184" s="24" t="s">
        <v>690</v>
      </c>
    </row>
    <row r="185" spans="16384:16384" x14ac:dyDescent="0.25">
      <c r="XFD185" s="24" t="s">
        <v>691</v>
      </c>
    </row>
    <row r="186" spans="16384:16384" x14ac:dyDescent="0.25">
      <c r="XFD186" s="24" t="s">
        <v>692</v>
      </c>
    </row>
    <row r="187" spans="16384:16384" x14ac:dyDescent="0.25">
      <c r="XFD187" s="24" t="s">
        <v>693</v>
      </c>
    </row>
    <row r="188" spans="16384:16384" x14ac:dyDescent="0.25">
      <c r="XFD188" s="24" t="s">
        <v>694</v>
      </c>
    </row>
    <row r="189" spans="16384:16384" x14ac:dyDescent="0.25">
      <c r="XFD189" s="24" t="s">
        <v>695</v>
      </c>
    </row>
    <row r="190" spans="16384:16384" x14ac:dyDescent="0.25">
      <c r="XFD190" s="24" t="s">
        <v>696</v>
      </c>
    </row>
    <row r="191" spans="16384:16384" x14ac:dyDescent="0.25">
      <c r="XFD191" s="24" t="s">
        <v>697</v>
      </c>
    </row>
    <row r="192" spans="16384:16384" x14ac:dyDescent="0.25">
      <c r="XFD192" s="24" t="s">
        <v>698</v>
      </c>
    </row>
    <row r="193" spans="16384:16384" x14ac:dyDescent="0.25">
      <c r="XFD193" s="24" t="s">
        <v>699</v>
      </c>
    </row>
    <row r="194" spans="16384:16384" x14ac:dyDescent="0.25">
      <c r="XFD194" s="24" t="s">
        <v>700</v>
      </c>
    </row>
    <row r="195" spans="16384:16384" x14ac:dyDescent="0.25">
      <c r="XFD195" s="24" t="s">
        <v>701</v>
      </c>
    </row>
    <row r="196" spans="16384:16384" x14ac:dyDescent="0.25">
      <c r="XFD196" s="24" t="s">
        <v>702</v>
      </c>
    </row>
    <row r="197" spans="16384:16384" x14ac:dyDescent="0.25">
      <c r="XFD197" s="24" t="s">
        <v>703</v>
      </c>
    </row>
    <row r="198" spans="16384:16384" x14ac:dyDescent="0.25">
      <c r="XFD198" s="24" t="s">
        <v>704</v>
      </c>
    </row>
    <row r="199" spans="16384:16384" x14ac:dyDescent="0.25">
      <c r="XFD199" s="24" t="s">
        <v>705</v>
      </c>
    </row>
    <row r="200" spans="16384:16384" x14ac:dyDescent="0.25">
      <c r="XFD200" s="24" t="s">
        <v>706</v>
      </c>
    </row>
    <row r="201" spans="16384:16384" x14ac:dyDescent="0.25">
      <c r="XFD201" s="24" t="s">
        <v>707</v>
      </c>
    </row>
    <row r="202" spans="16384:16384" x14ac:dyDescent="0.25">
      <c r="XFD202" s="24" t="s">
        <v>708</v>
      </c>
    </row>
    <row r="203" spans="16384:16384" x14ac:dyDescent="0.25">
      <c r="XFD203" s="24" t="s">
        <v>709</v>
      </c>
    </row>
    <row r="204" spans="16384:16384" x14ac:dyDescent="0.25">
      <c r="XFD204" s="24" t="s">
        <v>710</v>
      </c>
    </row>
    <row r="205" spans="16384:16384" x14ac:dyDescent="0.25">
      <c r="XFD205" s="24" t="s">
        <v>711</v>
      </c>
    </row>
    <row r="206" spans="16384:16384" x14ac:dyDescent="0.25">
      <c r="XFD206" s="24" t="s">
        <v>712</v>
      </c>
    </row>
    <row r="207" spans="16384:16384" x14ac:dyDescent="0.25">
      <c r="XFD207" s="24" t="s">
        <v>713</v>
      </c>
    </row>
    <row r="208" spans="16384:16384" x14ac:dyDescent="0.25">
      <c r="XFD208" s="24" t="s">
        <v>714</v>
      </c>
    </row>
    <row r="209" spans="16384:16384" x14ac:dyDescent="0.25">
      <c r="XFD209" s="24" t="s">
        <v>715</v>
      </c>
    </row>
    <row r="210" spans="16384:16384" x14ac:dyDescent="0.25">
      <c r="XFD210" s="24" t="s">
        <v>716</v>
      </c>
    </row>
    <row r="211" spans="16384:16384" x14ac:dyDescent="0.25">
      <c r="XFD211" s="24" t="s">
        <v>717</v>
      </c>
    </row>
    <row r="212" spans="16384:16384" x14ac:dyDescent="0.25">
      <c r="XFD212" s="24" t="s">
        <v>718</v>
      </c>
    </row>
    <row r="213" spans="16384:16384" x14ac:dyDescent="0.25">
      <c r="XFD213" s="24" t="s">
        <v>719</v>
      </c>
    </row>
    <row r="214" spans="16384:16384" x14ac:dyDescent="0.25">
      <c r="XFD214" s="24" t="s">
        <v>720</v>
      </c>
    </row>
    <row r="215" spans="16384:16384" x14ac:dyDescent="0.25">
      <c r="XFD215" s="24" t="s">
        <v>721</v>
      </c>
    </row>
    <row r="216" spans="16384:16384" x14ac:dyDescent="0.25">
      <c r="XFD216" s="24" t="s">
        <v>722</v>
      </c>
    </row>
    <row r="217" spans="16384:16384" x14ac:dyDescent="0.25">
      <c r="XFD217" s="24" t="s">
        <v>723</v>
      </c>
    </row>
    <row r="218" spans="16384:16384" x14ac:dyDescent="0.25">
      <c r="XFD218" s="24" t="s">
        <v>724</v>
      </c>
    </row>
    <row r="219" spans="16384:16384" x14ac:dyDescent="0.25">
      <c r="XFD219" s="24" t="s">
        <v>725</v>
      </c>
    </row>
    <row r="220" spans="16384:16384" x14ac:dyDescent="0.25">
      <c r="XFD220" s="24" t="s">
        <v>726</v>
      </c>
    </row>
    <row r="221" spans="16384:16384" x14ac:dyDescent="0.25">
      <c r="XFD221" s="24" t="s">
        <v>727</v>
      </c>
    </row>
    <row r="222" spans="16384:16384" x14ac:dyDescent="0.25">
      <c r="XFD222" s="24" t="s">
        <v>728</v>
      </c>
    </row>
    <row r="223" spans="16384:16384" x14ac:dyDescent="0.25">
      <c r="XFD223" s="24" t="s">
        <v>729</v>
      </c>
    </row>
    <row r="224" spans="16384:16384" x14ac:dyDescent="0.25">
      <c r="XFD224" s="24" t="s">
        <v>730</v>
      </c>
    </row>
    <row r="225" spans="16384:16384" x14ac:dyDescent="0.25">
      <c r="XFD225" s="24" t="s">
        <v>731</v>
      </c>
    </row>
    <row r="226" spans="16384:16384" x14ac:dyDescent="0.25">
      <c r="XFD226" s="24" t="s">
        <v>732</v>
      </c>
    </row>
    <row r="227" spans="16384:16384" x14ac:dyDescent="0.25">
      <c r="XFD227" s="24" t="s">
        <v>733</v>
      </c>
    </row>
    <row r="228" spans="16384:16384" x14ac:dyDescent="0.25">
      <c r="XFD228" s="24" t="s">
        <v>734</v>
      </c>
    </row>
    <row r="229" spans="16384:16384" x14ac:dyDescent="0.25">
      <c r="XFD229" s="24" t="s">
        <v>735</v>
      </c>
    </row>
    <row r="230" spans="16384:16384" x14ac:dyDescent="0.25">
      <c r="XFD230" s="24" t="s">
        <v>736</v>
      </c>
    </row>
    <row r="231" spans="16384:16384" x14ac:dyDescent="0.25">
      <c r="XFD231" s="24" t="s">
        <v>737</v>
      </c>
    </row>
    <row r="232" spans="16384:16384" x14ac:dyDescent="0.25">
      <c r="XFD232" s="24" t="s">
        <v>738</v>
      </c>
    </row>
    <row r="233" spans="16384:16384" x14ac:dyDescent="0.25">
      <c r="XFD233" s="24" t="s">
        <v>739</v>
      </c>
    </row>
    <row r="234" spans="16384:16384" x14ac:dyDescent="0.25">
      <c r="XFD234" s="24" t="s">
        <v>740</v>
      </c>
    </row>
    <row r="235" spans="16384:16384" x14ac:dyDescent="0.25">
      <c r="XFD235" s="24" t="s">
        <v>741</v>
      </c>
    </row>
    <row r="236" spans="16384:16384" x14ac:dyDescent="0.25">
      <c r="XFD236" s="24" t="s">
        <v>742</v>
      </c>
    </row>
    <row r="237" spans="16384:16384" x14ac:dyDescent="0.25">
      <c r="XFD237" s="24" t="s">
        <v>743</v>
      </c>
    </row>
    <row r="238" spans="16384:16384" x14ac:dyDescent="0.25">
      <c r="XFD238" s="24" t="s">
        <v>744</v>
      </c>
    </row>
    <row r="239" spans="16384:16384" x14ac:dyDescent="0.25">
      <c r="XFD239" s="24" t="s">
        <v>745</v>
      </c>
    </row>
    <row r="240" spans="16384:16384" x14ac:dyDescent="0.25">
      <c r="XFD240" s="24" t="s">
        <v>746</v>
      </c>
    </row>
    <row r="241" spans="16384:16384" x14ac:dyDescent="0.25">
      <c r="XFD241" s="24" t="s">
        <v>747</v>
      </c>
    </row>
    <row r="242" spans="16384:16384" x14ac:dyDescent="0.25">
      <c r="XFD242" s="24" t="s">
        <v>748</v>
      </c>
    </row>
    <row r="243" spans="16384:16384" x14ac:dyDescent="0.25">
      <c r="XFD243" s="24" t="s">
        <v>749</v>
      </c>
    </row>
    <row r="244" spans="16384:16384" x14ac:dyDescent="0.25">
      <c r="XFD244" s="24" t="s">
        <v>750</v>
      </c>
    </row>
    <row r="245" spans="16384:16384" x14ac:dyDescent="0.25">
      <c r="XFD245" s="24" t="s">
        <v>751</v>
      </c>
    </row>
    <row r="246" spans="16384:16384" x14ac:dyDescent="0.25">
      <c r="XFD246" s="24" t="s">
        <v>752</v>
      </c>
    </row>
    <row r="247" spans="16384:16384" x14ac:dyDescent="0.25">
      <c r="XFD247" s="24" t="s">
        <v>753</v>
      </c>
    </row>
    <row r="248" spans="16384:16384" x14ac:dyDescent="0.25">
      <c r="XFD248" s="24" t="s">
        <v>754</v>
      </c>
    </row>
    <row r="249" spans="16384:16384" x14ac:dyDescent="0.25">
      <c r="XFD249" s="24" t="s">
        <v>755</v>
      </c>
    </row>
    <row r="250" spans="16384:16384" x14ac:dyDescent="0.25">
      <c r="XFD250" s="24" t="s">
        <v>756</v>
      </c>
    </row>
    <row r="251" spans="16384:16384" x14ac:dyDescent="0.25">
      <c r="XFD251" s="24" t="s">
        <v>757</v>
      </c>
    </row>
  </sheetData>
  <sheetProtection sheet="1" objects="1" scenarios="1"/>
  <mergeCells count="5">
    <mergeCell ref="A1:B1"/>
    <mergeCell ref="D1:E1"/>
    <mergeCell ref="G1:I1"/>
    <mergeCell ref="K1:T1"/>
    <mergeCell ref="V1:W1"/>
  </mergeCells>
  <dataValidations count="2">
    <dataValidation type="list" allowBlank="1" showInputMessage="1" showErrorMessage="1" sqref="Q3:Q100">
      <formula1>SList</formula1>
    </dataValidation>
    <dataValidation type="list" allowBlank="1" showInputMessage="1" showErrorMessage="1" sqref="R3:R100">
      <formula1>CList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Balance Sheet</vt:lpstr>
      <vt:lpstr>Other reserve</vt:lpstr>
      <vt:lpstr>Manufacturing Account</vt:lpstr>
      <vt:lpstr>Trading Account</vt:lpstr>
      <vt:lpstr>Trading Other Details</vt:lpstr>
      <vt:lpstr>Profit and Loss Account</vt:lpstr>
      <vt:lpstr>P&amp;L Other Details</vt:lpstr>
      <vt:lpstr>CList</vt:lpstr>
      <vt:lpstr>SList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</dc:creator>
  <cp:lastModifiedBy>User</cp:lastModifiedBy>
  <dcterms:created xsi:type="dcterms:W3CDTF">2024-08-16T09:48:31Z</dcterms:created>
  <dcterms:modified xsi:type="dcterms:W3CDTF">2026-07-08T13:43:38Z</dcterms:modified>
</cp:coreProperties>
</file>